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Instance" sheetId="1" state="visible" r:id="rId1"/>
    <sheet name="Total Mate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###"/>
    <numFmt numFmtId="165" formatCode="$#,##0.00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D7E3F4"/>
        <bgColor rgb="00D7E3F4"/>
      </patternFill>
    </fill>
    <fill>
      <patternFill patternType="solid">
        <fgColor rgb="00FFF7D6"/>
        <bgColor rgb="00FFF7D6"/>
      </patternFill>
    </fill>
    <fill>
      <patternFill patternType="solid">
        <fgColor rgb="00F3F4F6"/>
        <bgColor rgb="00F3F4F6"/>
      </patternFill>
    </fill>
    <fill>
      <patternFill patternType="solid">
        <fgColor rgb="00E7EDF5"/>
        <bgColor rgb="00E7E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right" vertical="center"/>
    </xf>
    <xf numFmtId="165" fontId="2" fillId="3" borderId="0" applyAlignment="1" pivotButton="0" quotePrefix="0" xfId="0">
      <alignment horizontal="right" vertical="center"/>
    </xf>
    <xf numFmtId="165" fontId="2" fillId="4" borderId="0" applyAlignment="1" pivotButton="0" quotePrefix="0" xfId="0">
      <alignment horizontal="right" vertical="center"/>
    </xf>
    <xf numFmtId="0" fontId="1" fillId="5" borderId="0" pivotButton="0" quotePrefix="0" xfId="0"/>
    <xf numFmtId="165" fontId="1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8" customWidth="1" min="3" max="3"/>
    <col width="40" customWidth="1" min="4" max="4"/>
    <col width="16" customWidth="1" min="5" max="5"/>
    <col width="10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Instance</t>
        </is>
      </c>
      <c r="B1" s="1" t="inlineStr">
        <is>
          <t>Category</t>
        </is>
      </c>
      <c r="C1" s="1" t="inlineStr">
        <is>
          <t>Subtype</t>
        </is>
      </c>
      <c r="D1" s="1" t="inlineStr">
        <is>
          <t>Material</t>
        </is>
      </c>
      <c r="E1" s="1" t="inlineStr">
        <is>
          <t>SKU</t>
        </is>
      </c>
      <c r="F1" s="1" t="inlineStr">
        <is>
          <t>Unit</t>
        </is>
      </c>
      <c r="G1" s="1" t="inlineStr">
        <is>
          <t>Quantity</t>
        </is>
      </c>
      <c r="H1" s="1" t="inlineStr">
        <is>
          <t>Unit Price</t>
        </is>
      </c>
      <c r="I1" s="1" t="inlineStr">
        <is>
          <t>Cost</t>
        </is>
      </c>
    </row>
    <row r="2">
      <c r="A2" s="2" t="inlineStr">
        <is>
          <t>Estructura de Cielo</t>
        </is>
      </c>
      <c r="B2" s="3" t="inlineStr">
        <is>
          <t>1.1. ELEMENTOS ESTRUCTURALES</t>
        </is>
      </c>
      <c r="C2" s="3" t="inlineStr">
        <is>
          <t>General</t>
        </is>
      </c>
      <c r="D2" s="3" t="inlineStr">
        <is>
          <t>MAD ASER, ESTRUC,  PINO, IMPREG SECO, CALIB, 41x90,2.4</t>
        </is>
      </c>
      <c r="E2" s="3" t="inlineStr">
        <is>
          <t>MADE0037</t>
        </is>
      </c>
      <c r="F2" s="3" t="inlineStr">
        <is>
          <t>UN</t>
        </is>
      </c>
      <c r="G2" s="4" t="n">
        <v>1.2</v>
      </c>
      <c r="H2" s="5" t="n">
        <v>0</v>
      </c>
      <c r="I2" s="6">
        <f>IF(OR(G2="",H2=""),"",G2*H2)</f>
        <v/>
      </c>
    </row>
    <row r="3">
      <c r="A3" s="2" t="inlineStr">
        <is>
          <t>Estructura de Cielo</t>
        </is>
      </c>
      <c r="B3" s="3" t="inlineStr">
        <is>
          <t>1.1. ELEMENTOS ESTRUCTURALES</t>
        </is>
      </c>
      <c r="C3" s="3" t="inlineStr">
        <is>
          <t>General</t>
        </is>
      </c>
      <c r="D3" s="3" t="inlineStr">
        <is>
          <t>MAD ASER, ESTRUC, PINO, IMPREG SECO, CALIB, 41x90,3.2</t>
        </is>
      </c>
      <c r="E3" s="3" t="inlineStr">
        <is>
          <t>MADE0040</t>
        </is>
      </c>
      <c r="F3" s="3" t="inlineStr">
        <is>
          <t>UN</t>
        </is>
      </c>
      <c r="G3" s="4" t="n">
        <v>1.2</v>
      </c>
      <c r="H3" s="5" t="n">
        <v>5511.81</v>
      </c>
      <c r="I3" s="6">
        <f>IF(OR(G3="",H3=""),"",G3*H3)</f>
        <v/>
      </c>
    </row>
    <row r="4">
      <c r="A4" s="2" t="inlineStr">
        <is>
          <t>Estructura de Cielo</t>
        </is>
      </c>
      <c r="B4" s="3" t="inlineStr">
        <is>
          <t>1.1. ELEMENTOS ESTRUCTURALES</t>
        </is>
      </c>
      <c r="C4" s="3" t="inlineStr">
        <is>
          <t>General</t>
        </is>
      </c>
      <c r="D4" s="3" t="inlineStr">
        <is>
          <t>MAD ASER, ESTRUC, PINO, IMPREG SECO, CALIB, 41x138,3.2</t>
        </is>
      </c>
      <c r="E4" s="3" t="inlineStr">
        <is>
          <t>MADE0029</t>
        </is>
      </c>
      <c r="F4" s="3" t="inlineStr">
        <is>
          <t>UN</t>
        </is>
      </c>
      <c r="G4" s="4" t="n">
        <v>30</v>
      </c>
      <c r="H4" s="5" t="n">
        <v>0</v>
      </c>
      <c r="I4" s="6">
        <f>IF(OR(G4="",H4=""),"",G4*H4)</f>
        <v/>
      </c>
    </row>
    <row r="5">
      <c r="A5" s="2" t="inlineStr">
        <is>
          <t>Estructura de Cielo</t>
        </is>
      </c>
      <c r="B5" s="3" t="inlineStr">
        <is>
          <t>1.1. ELEMENTOS ESTRUCTURALES</t>
        </is>
      </c>
      <c r="C5" s="3" t="inlineStr">
        <is>
          <t>General</t>
        </is>
      </c>
      <c r="D5" s="3" t="inlineStr">
        <is>
          <t>MAD ASER, ESTRUC, PINO, IMPREG SECO, CALIB, 41x185,3.2</t>
        </is>
      </c>
      <c r="E5" s="3" t="inlineStr">
        <is>
          <t>MADE0033</t>
        </is>
      </c>
      <c r="F5" s="3" t="inlineStr">
        <is>
          <t>UN</t>
        </is>
      </c>
      <c r="G5" s="4" t="n"/>
      <c r="H5" s="5" t="n">
        <v>11526.87</v>
      </c>
      <c r="I5" s="6">
        <f>IF(OR(G5="",H5=""),"",G5*H5)</f>
        <v/>
      </c>
    </row>
    <row r="6">
      <c r="A6" s="2" t="inlineStr">
        <is>
          <t>Estructura de Cielo</t>
        </is>
      </c>
      <c r="B6" s="3" t="inlineStr">
        <is>
          <t>1.1. ELEMENTOS ESTRUCTURALES</t>
        </is>
      </c>
      <c r="C6" s="3" t="inlineStr">
        <is>
          <t>General</t>
        </is>
      </c>
      <c r="D6" s="3" t="inlineStr">
        <is>
          <t>CLAVO R20 034X100 BK 96MM (1500UN)</t>
        </is>
      </c>
      <c r="E6" s="3" t="inlineStr">
        <is>
          <t>FIJA0031</t>
        </is>
      </c>
      <c r="F6" s="3" t="inlineStr">
        <is>
          <t>CAJA</t>
        </is>
      </c>
      <c r="G6" s="4" t="n">
        <v>0.22</v>
      </c>
      <c r="H6" s="5" t="n">
        <v>24000</v>
      </c>
      <c r="I6" s="6">
        <f>IF(OR(G6="",H6=""),"",G6*H6)</f>
        <v/>
      </c>
    </row>
    <row r="7">
      <c r="A7" s="2" t="inlineStr">
        <is>
          <t>Estructura de Cielo</t>
        </is>
      </c>
      <c r="B7" s="3" t="inlineStr">
        <is>
          <t>1.1. ELEMENTOS ESTRUCTURALES</t>
        </is>
      </c>
      <c r="C7" s="3" t="inlineStr">
        <is>
          <t>General</t>
        </is>
      </c>
      <c r="D7" s="3" t="inlineStr">
        <is>
          <t>PLACA ESTRUCTURALl AS 3  (76,2mm) x 6  (152mm)</t>
        </is>
      </c>
      <c r="E7" s="3" t="inlineStr">
        <is>
          <t>FIJA0279</t>
        </is>
      </c>
      <c r="F7" s="3" t="inlineStr">
        <is>
          <t>UN</t>
        </is>
      </c>
      <c r="G7" s="4" t="n">
        <v>6</v>
      </c>
      <c r="H7" s="5" t="n">
        <v>360.05</v>
      </c>
      <c r="I7" s="6">
        <f>IF(OR(G7="",H7=""),"",G7*H7)</f>
        <v/>
      </c>
    </row>
    <row r="8">
      <c r="A8" s="2" t="inlineStr">
        <is>
          <t>Estructura de Cielo</t>
        </is>
      </c>
      <c r="B8" s="3" t="inlineStr">
        <is>
          <t>1.1. ELEMENTOS ESTRUCTURALES</t>
        </is>
      </c>
      <c r="C8" s="3" t="inlineStr">
        <is>
          <t>General</t>
        </is>
      </c>
      <c r="D8" s="3" t="inlineStr">
        <is>
          <t>TIRAFONDO HBS 8X120</t>
        </is>
      </c>
      <c r="E8" s="3" t="inlineStr">
        <is>
          <t>FIJA0219</t>
        </is>
      </c>
      <c r="F8" s="3" t="inlineStr">
        <is>
          <t>UN</t>
        </is>
      </c>
      <c r="G8" s="4" t="n"/>
      <c r="H8" s="5" t="n">
        <v>156.32</v>
      </c>
      <c r="I8" s="6">
        <f>IF(OR(G8="",H8=""),"",G8*H8)</f>
        <v/>
      </c>
    </row>
    <row r="9">
      <c r="A9" t="inlineStr"/>
      <c r="B9" t="inlineStr"/>
      <c r="C9" t="inlineStr"/>
      <c r="D9" s="7" t="inlineStr">
        <is>
          <t>Subtotal Estructura de Cielo</t>
        </is>
      </c>
      <c r="E9" t="inlineStr"/>
      <c r="F9" t="inlineStr"/>
      <c r="G9" t="inlineStr"/>
      <c r="H9" t="inlineStr"/>
      <c r="I9" s="8">
        <f>SUM(I2:I8)</f>
        <v/>
      </c>
    </row>
    <row r="10">
      <c r="A10" s="2" t="inlineStr">
        <is>
          <t>Estructura de Piso</t>
        </is>
      </c>
      <c r="B10" s="3" t="inlineStr">
        <is>
          <t>1.1. ELEMENTOS ESTRUCTURALES</t>
        </is>
      </c>
      <c r="C10" s="3" t="inlineStr">
        <is>
          <t>General</t>
        </is>
      </c>
      <c r="D10" s="3" t="inlineStr">
        <is>
          <t>MDP 18MM P5 2,05 X 3,28 MT</t>
        </is>
      </c>
      <c r="E10" s="3" t="inlineStr">
        <is>
          <t>PLAC0075</t>
        </is>
      </c>
      <c r="F10" s="3" t="inlineStr">
        <is>
          <t>UN</t>
        </is>
      </c>
      <c r="G10" s="4" t="n">
        <v>7.24</v>
      </c>
      <c r="H10" s="5" t="n">
        <v>0</v>
      </c>
      <c r="I10" s="6">
        <f>IF(OR(G10="",H10=""),"",G10*H10)</f>
        <v/>
      </c>
    </row>
    <row r="11">
      <c r="A11" s="2" t="inlineStr">
        <is>
          <t>Estructura de Piso</t>
        </is>
      </c>
      <c r="B11" s="3" t="inlineStr">
        <is>
          <t>1.1. ELEMENTOS ESTRUCTURALES</t>
        </is>
      </c>
      <c r="C11" s="3" t="inlineStr">
        <is>
          <t>General</t>
        </is>
      </c>
      <c r="D11" s="3" t="inlineStr">
        <is>
          <t>MDP RH 18X2440X3275</t>
        </is>
      </c>
      <c r="E11" s="3" t="inlineStr">
        <is>
          <t>PLAC0078</t>
        </is>
      </c>
      <c r="F11" s="3" t="inlineStr">
        <is>
          <t>UN</t>
        </is>
      </c>
      <c r="G11" s="4" t="n"/>
      <c r="H11" s="5" t="n">
        <v>52577</v>
      </c>
      <c r="I11" s="6">
        <f>IF(OR(G11="",H11=""),"",G11*H11)</f>
        <v/>
      </c>
    </row>
    <row r="12">
      <c r="A12" s="2" t="inlineStr">
        <is>
          <t>Estructura de Piso</t>
        </is>
      </c>
      <c r="B12" s="3" t="inlineStr">
        <is>
          <t>1.1. ELEMENTOS ESTRUCTURALES</t>
        </is>
      </c>
      <c r="C12" s="3" t="inlineStr">
        <is>
          <t>General</t>
        </is>
      </c>
      <c r="D12" s="3" t="inlineStr">
        <is>
          <t>CLAVO HELICOIDAL PROFIX 2.5X65mmX300X30</t>
        </is>
      </c>
      <c r="E12" s="3" t="inlineStr">
        <is>
          <t>FIJA0284</t>
        </is>
      </c>
      <c r="F12" s="3" t="inlineStr">
        <is>
          <t>CAJA</t>
        </is>
      </c>
      <c r="G12" s="4" t="n">
        <v>0.43</v>
      </c>
      <c r="H12" s="5" t="n">
        <v>34000</v>
      </c>
      <c r="I12" s="6">
        <f>IF(OR(G12="",H12=""),"",G12*H12)</f>
        <v/>
      </c>
    </row>
    <row r="13">
      <c r="A13" s="2" t="inlineStr">
        <is>
          <t>Estructura de Piso</t>
        </is>
      </c>
      <c r="B13" s="3" t="inlineStr">
        <is>
          <t>1.1. ELEMENTOS ESTRUCTURALES</t>
        </is>
      </c>
      <c r="C13" s="3" t="inlineStr">
        <is>
          <t>General</t>
        </is>
      </c>
      <c r="D13" s="3" t="inlineStr">
        <is>
          <t>CLAVO HELICOIDAL PROFIX 2.8X75mmX250X20</t>
        </is>
      </c>
      <c r="E13" s="3" t="inlineStr">
        <is>
          <t>FIJA0283</t>
        </is>
      </c>
      <c r="F13" s="3" t="inlineStr">
        <is>
          <t>CAJA</t>
        </is>
      </c>
      <c r="G13" s="4" t="n">
        <v>0.75</v>
      </c>
      <c r="H13" s="5" t="n">
        <v>20976.5</v>
      </c>
      <c r="I13" s="6">
        <f>IF(OR(G13="",H13=""),"",G13*H13)</f>
        <v/>
      </c>
    </row>
    <row r="14">
      <c r="A14" s="2" t="inlineStr">
        <is>
          <t>Estructura de Piso</t>
        </is>
      </c>
      <c r="B14" s="3" t="inlineStr">
        <is>
          <t>1.1. ELEMENTOS ESTRUCTURALES</t>
        </is>
      </c>
      <c r="C14" s="3" t="inlineStr">
        <is>
          <t>General</t>
        </is>
      </c>
      <c r="D14" s="3" t="inlineStr">
        <is>
          <t>MAD ASER, ESTRUC, PINO, IMPREG SECO, CALIB, 41x138,3.2</t>
        </is>
      </c>
      <c r="E14" s="3" t="inlineStr">
        <is>
          <t>MADE0029</t>
        </is>
      </c>
      <c r="F14" s="3" t="inlineStr">
        <is>
          <t>UN</t>
        </is>
      </c>
      <c r="G14" s="4" t="n">
        <v>9</v>
      </c>
      <c r="H14" s="5" t="n">
        <v>0</v>
      </c>
      <c r="I14" s="6">
        <f>IF(OR(G14="",H14=""),"",G14*H14)</f>
        <v/>
      </c>
    </row>
    <row r="15">
      <c r="A15" s="2" t="inlineStr">
        <is>
          <t>Estructura de Piso</t>
        </is>
      </c>
      <c r="B15" s="3" t="inlineStr">
        <is>
          <t>1.1. ELEMENTOS ESTRUCTURALES</t>
        </is>
      </c>
      <c r="C15" s="3" t="inlineStr">
        <is>
          <t>General</t>
        </is>
      </c>
      <c r="D15" s="3" t="inlineStr">
        <is>
          <t>MAD ASER, ESTRUC, PINO, IMPREG SECO, CALIB, 41x185,3.2</t>
        </is>
      </c>
      <c r="E15" s="3" t="inlineStr">
        <is>
          <t>MADE0033</t>
        </is>
      </c>
      <c r="F15" s="3" t="inlineStr">
        <is>
          <t>UN</t>
        </is>
      </c>
      <c r="G15" s="4" t="n">
        <v>71</v>
      </c>
      <c r="H15" s="5" t="n">
        <v>11526.87</v>
      </c>
      <c r="I15" s="6">
        <f>IF(OR(G15="",H15=""),"",G15*H15)</f>
        <v/>
      </c>
    </row>
    <row r="16">
      <c r="A16" s="2" t="inlineStr">
        <is>
          <t>Estructura de Piso</t>
        </is>
      </c>
      <c r="B16" s="3" t="inlineStr">
        <is>
          <t>1.1. ELEMENTOS ESTRUCTURALES</t>
        </is>
      </c>
      <c r="C16" s="3" t="inlineStr">
        <is>
          <t>General</t>
        </is>
      </c>
      <c r="D16" s="3" t="inlineStr">
        <is>
          <t>MAD ASER, ESTRUC,  PINO, IMPREG SECO, CALIB, 41x90,2.4</t>
        </is>
      </c>
      <c r="E16" s="3" t="inlineStr">
        <is>
          <t>MADE0037</t>
        </is>
      </c>
      <c r="F16" s="3" t="inlineStr">
        <is>
          <t>UN</t>
        </is>
      </c>
      <c r="G16" s="4" t="n">
        <v>2</v>
      </c>
      <c r="H16" s="5" t="n">
        <v>0</v>
      </c>
      <c r="I16" s="6">
        <f>IF(OR(G16="",H16=""),"",G16*H16)</f>
        <v/>
      </c>
    </row>
    <row r="17">
      <c r="A17" s="2" t="inlineStr">
        <is>
          <t>Estructura de Piso</t>
        </is>
      </c>
      <c r="B17" s="3" t="inlineStr">
        <is>
          <t>1.1. ELEMENTOS ESTRUCTURALES</t>
        </is>
      </c>
      <c r="C17" s="3" t="inlineStr">
        <is>
          <t>General</t>
        </is>
      </c>
      <c r="D17" s="3" t="inlineStr">
        <is>
          <t>MAD ASER, ESTRUC, PINO, IMPREG SECO, CALIB, 41x90,3.2</t>
        </is>
      </c>
      <c r="E17" s="3" t="inlineStr">
        <is>
          <t>MADE0040</t>
        </is>
      </c>
      <c r="F17" s="3" t="inlineStr">
        <is>
          <t>UN</t>
        </is>
      </c>
      <c r="G17" s="4" t="n">
        <v>0.3</v>
      </c>
      <c r="H17" s="5" t="n">
        <v>5511.81</v>
      </c>
      <c r="I17" s="6">
        <f>IF(OR(G17="",H17=""),"",G17*H17)</f>
        <v/>
      </c>
    </row>
    <row r="18">
      <c r="A18" s="2" t="inlineStr">
        <is>
          <t>Estructura de Piso</t>
        </is>
      </c>
      <c r="B18" s="3" t="inlineStr">
        <is>
          <t>1.1. ELEMENTOS ESTRUCTURALES</t>
        </is>
      </c>
      <c r="C18" s="3" t="inlineStr">
        <is>
          <t>General</t>
        </is>
      </c>
      <c r="D18" s="3" t="inlineStr">
        <is>
          <t>CLAVO R20 034X100 BK 96MM (1500UN)</t>
        </is>
      </c>
      <c r="E18" s="3" t="inlineStr">
        <is>
          <t>FIJA0031</t>
        </is>
      </c>
      <c r="F18" s="3" t="inlineStr">
        <is>
          <t>CAJA</t>
        </is>
      </c>
      <c r="G18" s="4" t="n">
        <v>0.43</v>
      </c>
      <c r="H18" s="5" t="n">
        <v>24000</v>
      </c>
      <c r="I18" s="6">
        <f>IF(OR(G18="",H18=""),"",G18*H18)</f>
        <v/>
      </c>
    </row>
    <row r="19">
      <c r="A19" s="2" t="inlineStr">
        <is>
          <t>Estructura de Piso</t>
        </is>
      </c>
      <c r="B19" s="3" t="inlineStr">
        <is>
          <t>1.1. ELEMENTOS ESTRUCTURALES</t>
        </is>
      </c>
      <c r="C19" s="3" t="inlineStr">
        <is>
          <t>General</t>
        </is>
      </c>
      <c r="D19" s="3" t="inlineStr">
        <is>
          <t>PLACA ESTRUCTURAL AS 4  (101,6mm) x 8  (203,2mm)</t>
        </is>
      </c>
      <c r="E19" s="3" t="inlineStr">
        <is>
          <t>FIJA0280</t>
        </is>
      </c>
      <c r="F19" s="3" t="inlineStr">
        <is>
          <t>UN</t>
        </is>
      </c>
      <c r="G19" s="4" t="n">
        <v>22</v>
      </c>
      <c r="H19" s="5" t="n">
        <v>664.28</v>
      </c>
      <c r="I19" s="6">
        <f>IF(OR(G19="",H19=""),"",G19*H19)</f>
        <v/>
      </c>
    </row>
    <row r="20">
      <c r="A20" s="2" t="inlineStr">
        <is>
          <t>Estructura de Piso</t>
        </is>
      </c>
      <c r="B20" s="3" t="inlineStr">
        <is>
          <t>1.1. ELEMENTOS ESTRUCTURALES</t>
        </is>
      </c>
      <c r="C20" s="3" t="inlineStr">
        <is>
          <t>General</t>
        </is>
      </c>
      <c r="D20" s="3" t="inlineStr">
        <is>
          <t>ADHESIVO AEROLITE UP-4145 SACO 25 Kg</t>
        </is>
      </c>
      <c r="E20" s="3" t="inlineStr">
        <is>
          <t>ADHE0063</t>
        </is>
      </c>
      <c r="F20" s="3" t="inlineStr">
        <is>
          <t>SACO</t>
        </is>
      </c>
      <c r="G20" s="4" t="n">
        <v>0.11</v>
      </c>
      <c r="H20" s="5" t="n">
        <v>114375</v>
      </c>
      <c r="I20" s="6">
        <f>IF(OR(G20="",H20=""),"",G20*H20)</f>
        <v/>
      </c>
    </row>
    <row r="21">
      <c r="A21" s="2" t="inlineStr">
        <is>
          <t>Estructura de Piso</t>
        </is>
      </c>
      <c r="B21" s="3" t="inlineStr">
        <is>
          <t>1.1. ELEMENTOS ESTRUCTURALES</t>
        </is>
      </c>
      <c r="C21" s="3" t="inlineStr">
        <is>
          <t>General</t>
        </is>
      </c>
      <c r="D21" s="3" t="inlineStr">
        <is>
          <t>2 X 6IN MEDIUM L ANGLE ZMAX ML26Z</t>
        </is>
      </c>
      <c r="E21" s="3" t="inlineStr">
        <is>
          <t>FIJA0345</t>
        </is>
      </c>
      <c r="F21" s="3" t="inlineStr">
        <is>
          <t>UN</t>
        </is>
      </c>
      <c r="G21" s="4" t="n">
        <v>12</v>
      </c>
      <c r="H21" s="5" t="n">
        <v>2834</v>
      </c>
      <c r="I21" s="6">
        <f>IF(OR(G21="",H21=""),"",G21*H21)</f>
        <v/>
      </c>
    </row>
    <row r="22">
      <c r="A22" s="2" t="inlineStr">
        <is>
          <t>Estructura de Piso</t>
        </is>
      </c>
      <c r="B22" s="3" t="inlineStr">
        <is>
          <t>1.1. ELEMENTOS ESTRUCTURALES</t>
        </is>
      </c>
      <c r="C22" s="3" t="inlineStr">
        <is>
          <t>General</t>
        </is>
      </c>
      <c r="D22" s="3" t="inlineStr">
        <is>
          <t>TORNILLO PARA CONECTOR SDS 1/4 X 1. 1/2 SDS25112</t>
        </is>
      </c>
      <c r="E22" s="3" t="inlineStr">
        <is>
          <t>FIJA0429</t>
        </is>
      </c>
      <c r="F22" s="3" t="inlineStr">
        <is>
          <t>UN</t>
        </is>
      </c>
      <c r="G22" s="4" t="n">
        <v>96</v>
      </c>
      <c r="H22" s="5" t="n">
        <v>180</v>
      </c>
      <c r="I22" s="6">
        <f>IF(OR(G22="",H22=""),"",G22*H22)</f>
        <v/>
      </c>
    </row>
    <row r="23">
      <c r="A23" s="2" t="inlineStr">
        <is>
          <t>Estructura de Piso</t>
        </is>
      </c>
      <c r="B23" s="3" t="inlineStr">
        <is>
          <t>1.1. ELEMENTOS ESTRUCTURALES</t>
        </is>
      </c>
      <c r="C23" s="3" t="inlineStr">
        <is>
          <t>General</t>
        </is>
      </c>
      <c r="D23" s="3" t="inlineStr">
        <is>
          <t>TIRAFONDO HBS 8X120</t>
        </is>
      </c>
      <c r="E23" s="3" t="inlineStr">
        <is>
          <t>FIJA0219</t>
        </is>
      </c>
      <c r="F23" s="3" t="inlineStr">
        <is>
          <t>UN</t>
        </is>
      </c>
      <c r="G23" s="4" t="n"/>
      <c r="H23" s="5" t="n">
        <v>156.32</v>
      </c>
      <c r="I23" s="6">
        <f>IF(OR(G23="",H23=""),"",G23*H23)</f>
        <v/>
      </c>
    </row>
    <row r="24">
      <c r="A24" s="2" t="inlineStr">
        <is>
          <t>Estructura de Piso</t>
        </is>
      </c>
      <c r="B24" s="3" t="inlineStr">
        <is>
          <t>1.1. ELEMENTOS ESTRUCTURALES</t>
        </is>
      </c>
      <c r="C24" s="3" t="inlineStr">
        <is>
          <t>General</t>
        </is>
      </c>
      <c r="D24" s="3" t="inlineStr">
        <is>
          <t>TIRAFONDO TBS 6X120</t>
        </is>
      </c>
      <c r="E24" s="3" t="inlineStr">
        <is>
          <t>FIJA0223</t>
        </is>
      </c>
      <c r="F24" s="3" t="inlineStr">
        <is>
          <t>UN</t>
        </is>
      </c>
      <c r="G24" s="4" t="n"/>
      <c r="H24" s="5" t="n">
        <v>126.73</v>
      </c>
      <c r="I24" s="6">
        <f>IF(OR(G24="",H24=""),"",G24*H24)</f>
        <v/>
      </c>
    </row>
    <row r="25">
      <c r="A25" s="2" t="inlineStr">
        <is>
          <t>Estructura de Piso</t>
        </is>
      </c>
      <c r="B25" s="3" t="inlineStr">
        <is>
          <t>1.1. ELEMENTOS ESTRUCTURALES</t>
        </is>
      </c>
      <c r="C25" s="3" t="inlineStr">
        <is>
          <t>General</t>
        </is>
      </c>
      <c r="D25" s="3" t="inlineStr">
        <is>
          <t>MDP RH 12X2440X3280</t>
        </is>
      </c>
      <c r="E25" s="3" t="inlineStr">
        <is>
          <t>PLAC0004</t>
        </is>
      </c>
      <c r="F25" s="3" t="inlineStr">
        <is>
          <t>UN</t>
        </is>
      </c>
      <c r="G25" s="4" t="n">
        <v>3.2</v>
      </c>
      <c r="H25" s="5" t="n">
        <v>31884.23</v>
      </c>
      <c r="I25" s="6">
        <f>IF(OR(G25="",H25=""),"",G25*H25)</f>
        <v/>
      </c>
    </row>
    <row r="26">
      <c r="A26" s="2" t="inlineStr">
        <is>
          <t>Estructura de Piso</t>
        </is>
      </c>
      <c r="B26" s="3" t="inlineStr">
        <is>
          <t>1.1. ELEMENTOS ESTRUCTURALES</t>
        </is>
      </c>
      <c r="C26" s="3" t="inlineStr">
        <is>
          <t>General</t>
        </is>
      </c>
      <c r="D26" s="3" t="inlineStr">
        <is>
          <t>GRAPA PROFIX 14/50MM X 10.000 UN - SAP GS1451</t>
        </is>
      </c>
      <c r="E26" s="3" t="inlineStr">
        <is>
          <t>HERR0091</t>
        </is>
      </c>
      <c r="F26" s="3" t="inlineStr">
        <is>
          <t>CAJA</t>
        </is>
      </c>
      <c r="G26" s="4" t="n">
        <v>0.19</v>
      </c>
      <c r="H26" s="5" t="n">
        <v>22000</v>
      </c>
      <c r="I26" s="6">
        <f>IF(OR(G26="",H26=""),"",G26*H26)</f>
        <v/>
      </c>
    </row>
    <row r="27">
      <c r="A27" t="inlineStr"/>
      <c r="B27" t="inlineStr"/>
      <c r="C27" t="inlineStr"/>
      <c r="D27" s="7" t="inlineStr">
        <is>
          <t>Subtotal Estructura de Piso</t>
        </is>
      </c>
      <c r="E27" t="inlineStr"/>
      <c r="F27" t="inlineStr"/>
      <c r="G27" t="inlineStr"/>
      <c r="H27" t="inlineStr"/>
      <c r="I27" s="8">
        <f>SUM(I10:I26)</f>
        <v/>
      </c>
    </row>
    <row r="28">
      <c r="A28" s="2" t="inlineStr">
        <is>
          <t>Estructura de Techumbre (EPS)</t>
        </is>
      </c>
      <c r="B28" s="3" t="inlineStr">
        <is>
          <t>1.1. ELEMENTOS ESTRUCTURALES</t>
        </is>
      </c>
      <c r="C28" s="3" t="inlineStr">
        <is>
          <t>General</t>
        </is>
      </c>
      <c r="D28" s="3" t="inlineStr">
        <is>
          <t>MAD ASER, ESTRUC, PINO, IMPREG SECO, CALIB, 41x138,3.2</t>
        </is>
      </c>
      <c r="E28" s="3" t="inlineStr">
        <is>
          <t>MADE0029</t>
        </is>
      </c>
      <c r="F28" s="3" t="inlineStr">
        <is>
          <t>UN</t>
        </is>
      </c>
      <c r="G28" s="4" t="n">
        <v>25</v>
      </c>
      <c r="H28" s="5" t="n">
        <v>0</v>
      </c>
      <c r="I28" s="6">
        <f>IF(OR(G28="",H28=""),"",G28*H28)</f>
        <v/>
      </c>
    </row>
    <row r="29">
      <c r="A29" s="2" t="inlineStr">
        <is>
          <t>Estructura de Techumbre (EPS)</t>
        </is>
      </c>
      <c r="B29" s="3" t="inlineStr">
        <is>
          <t>1.1. ELEMENTOS ESTRUCTURALES</t>
        </is>
      </c>
      <c r="C29" s="3" t="inlineStr">
        <is>
          <t>General</t>
        </is>
      </c>
      <c r="D29" s="3" t="inlineStr">
        <is>
          <t>MAD ASER, ESTRUC,  PINO, IMPREG SECO, CALIB, 41x90,2.4</t>
        </is>
      </c>
      <c r="E29" s="3" t="inlineStr">
        <is>
          <t>MADE0037</t>
        </is>
      </c>
      <c r="F29" s="3" t="inlineStr">
        <is>
          <t>UN</t>
        </is>
      </c>
      <c r="G29" s="4" t="n">
        <v>2</v>
      </c>
      <c r="H29" s="5" t="n">
        <v>0</v>
      </c>
      <c r="I29" s="6">
        <f>IF(OR(G29="",H29=""),"",G29*H29)</f>
        <v/>
      </c>
    </row>
    <row r="30">
      <c r="A30" s="2" t="inlineStr">
        <is>
          <t>Estructura de Techumbre (EPS)</t>
        </is>
      </c>
      <c r="B30" s="3" t="inlineStr">
        <is>
          <t>1.1. ELEMENTOS ESTRUCTURALES</t>
        </is>
      </c>
      <c r="C30" s="3" t="inlineStr">
        <is>
          <t>General</t>
        </is>
      </c>
      <c r="D30" s="3" t="inlineStr">
        <is>
          <t>MAD ASER, ESTRUC, PINO, IMPREG SECO, CALIB, 41x90,3.2</t>
        </is>
      </c>
      <c r="E30" s="3" t="inlineStr">
        <is>
          <t>MADE0040</t>
        </is>
      </c>
      <c r="F30" s="3" t="inlineStr">
        <is>
          <t>UN</t>
        </is>
      </c>
      <c r="G30" s="4" t="n">
        <v>20</v>
      </c>
      <c r="H30" s="5" t="n">
        <v>5511.81</v>
      </c>
      <c r="I30" s="6">
        <f>IF(OR(G30="",H30=""),"",G30*H30)</f>
        <v/>
      </c>
    </row>
    <row r="31">
      <c r="A31" s="2" t="inlineStr">
        <is>
          <t>Estructura de Techumbre (EPS)</t>
        </is>
      </c>
      <c r="B31" s="3" t="inlineStr">
        <is>
          <t>1.1. ELEMENTOS ESTRUCTURALES</t>
        </is>
      </c>
      <c r="C31" s="3" t="inlineStr">
        <is>
          <t>General</t>
        </is>
      </c>
      <c r="D31" s="3" t="inlineStr">
        <is>
          <t>CLAVO R20 034X100 BK 96MM (1500UN)</t>
        </is>
      </c>
      <c r="E31" s="3" t="inlineStr">
        <is>
          <t>FIJA0031</t>
        </is>
      </c>
      <c r="F31" s="3" t="inlineStr">
        <is>
          <t>CAJA</t>
        </is>
      </c>
      <c r="G31" s="4" t="n">
        <v>0.052</v>
      </c>
      <c r="H31" s="5" t="n">
        <v>24000</v>
      </c>
      <c r="I31" s="6">
        <f>IF(OR(G31="",H31=""),"",G31*H31)</f>
        <v/>
      </c>
    </row>
    <row r="32">
      <c r="A32" s="2" t="inlineStr">
        <is>
          <t>Estructura de Techumbre (EPS)</t>
        </is>
      </c>
      <c r="B32" s="3" t="inlineStr">
        <is>
          <t>1.1. ELEMENTOS ESTRUCTURALES</t>
        </is>
      </c>
      <c r="C32" s="3" t="inlineStr">
        <is>
          <t>General</t>
        </is>
      </c>
      <c r="D32" s="3" t="inlineStr">
        <is>
          <t>MDP RH 12X2440X3280</t>
        </is>
      </c>
      <c r="E32" s="3" t="inlineStr">
        <is>
          <t>PLAC0004</t>
        </is>
      </c>
      <c r="F32" s="3" t="inlineStr">
        <is>
          <t>UN</t>
        </is>
      </c>
      <c r="G32" s="4" t="n">
        <v>1.25</v>
      </c>
      <c r="H32" s="5" t="n">
        <v>31884.23</v>
      </c>
      <c r="I32" s="6">
        <f>IF(OR(G32="",H32=""),"",G32*H32)</f>
        <v/>
      </c>
    </row>
    <row r="33">
      <c r="A33" s="2" t="inlineStr">
        <is>
          <t>Estructura de Techumbre (EPS)</t>
        </is>
      </c>
      <c r="B33" s="3" t="inlineStr">
        <is>
          <t>1.1. ELEMENTOS ESTRUCTURALES</t>
        </is>
      </c>
      <c r="C33" s="3" t="inlineStr">
        <is>
          <t>General</t>
        </is>
      </c>
      <c r="D33" s="3" t="inlineStr">
        <is>
          <t>OSB APA 9.5 X 1,22 X 2,44 MM</t>
        </is>
      </c>
      <c r="E33" s="3" t="inlineStr">
        <is>
          <t>PLAC0008</t>
        </is>
      </c>
      <c r="F33" s="3" t="inlineStr">
        <is>
          <t>UN</t>
        </is>
      </c>
      <c r="G33" s="4" t="n">
        <v>11.5</v>
      </c>
      <c r="H33" s="5" t="n">
        <v>11696</v>
      </c>
      <c r="I33" s="6">
        <f>IF(OR(G33="",H33=""),"",G33*H33)</f>
        <v/>
      </c>
    </row>
    <row r="34">
      <c r="A34" s="2" t="inlineStr">
        <is>
          <t>Estructura de Techumbre (EPS)</t>
        </is>
      </c>
      <c r="B34" s="3" t="inlineStr">
        <is>
          <t>1.1. ELEMENTOS ESTRUCTURALES</t>
        </is>
      </c>
      <c r="C34" s="3" t="inlineStr">
        <is>
          <t>General</t>
        </is>
      </c>
      <c r="D34" s="3" t="inlineStr">
        <is>
          <t>GRAPA PROFIX 14/50MM X 10.000 UN - SAP GS1451</t>
        </is>
      </c>
      <c r="E34" s="3" t="inlineStr">
        <is>
          <t>HERR0091</t>
        </is>
      </c>
      <c r="F34" s="3" t="inlineStr">
        <is>
          <t>CAJA</t>
        </is>
      </c>
      <c r="G34" s="4" t="n">
        <v>0.06</v>
      </c>
      <c r="H34" s="5" t="n">
        <v>22000</v>
      </c>
      <c r="I34" s="6">
        <f>IF(OR(G34="",H34=""),"",G34*H34)</f>
        <v/>
      </c>
    </row>
    <row r="35">
      <c r="A35" s="2" t="inlineStr">
        <is>
          <t>Estructura de Techumbre (EPS)</t>
        </is>
      </c>
      <c r="B35" s="3" t="inlineStr">
        <is>
          <t>1.1. ELEMENTOS ESTRUCTURALES</t>
        </is>
      </c>
      <c r="C35" s="3" t="inlineStr">
        <is>
          <t>General</t>
        </is>
      </c>
      <c r="D35" s="3" t="inlineStr">
        <is>
          <t>PINO CEPILLADO SECO 2X2X3200</t>
        </is>
      </c>
      <c r="E35" s="3" t="inlineStr">
        <is>
          <t>MADE0080</t>
        </is>
      </c>
      <c r="F35" s="3" t="inlineStr">
        <is>
          <t>UN</t>
        </is>
      </c>
      <c r="G35" s="4" t="n">
        <v>2</v>
      </c>
      <c r="H35" s="5" t="n">
        <v>1770.4</v>
      </c>
      <c r="I35" s="6">
        <f>IF(OR(G35="",H35=""),"",G35*H35)</f>
        <v/>
      </c>
    </row>
    <row r="36">
      <c r="A36" t="inlineStr"/>
      <c r="B36" t="inlineStr"/>
      <c r="C36" t="inlineStr"/>
      <c r="D36" s="7" t="inlineStr">
        <is>
          <t>Subtotal Estructura de Techumbre (EPS)</t>
        </is>
      </c>
      <c r="E36" t="inlineStr"/>
      <c r="F36" t="inlineStr"/>
      <c r="G36" t="inlineStr"/>
      <c r="H36" t="inlineStr"/>
      <c r="I36" s="8">
        <f>SUM(I28:I35)</f>
        <v/>
      </c>
    </row>
    <row r="37">
      <c r="A37" s="2" t="inlineStr">
        <is>
          <t>Muros Exteriores</t>
        </is>
      </c>
      <c r="B37" s="3" t="inlineStr">
        <is>
          <t>1.1. ELEMENTOS ESTRUCTURALES</t>
        </is>
      </c>
      <c r="C37" s="3" t="inlineStr">
        <is>
          <t>General</t>
        </is>
      </c>
      <c r="D37" s="3" t="inlineStr">
        <is>
          <t>MAD ASER, ESTRUC, PINO, IMPREG SECO, CALIB, 41x138,3.2</t>
        </is>
      </c>
      <c r="E37" s="3" t="inlineStr">
        <is>
          <t>MADE0029</t>
        </is>
      </c>
      <c r="F37" s="3" t="inlineStr">
        <is>
          <t>UN</t>
        </is>
      </c>
      <c r="G37" s="4" t="n">
        <v>3</v>
      </c>
      <c r="H37" s="5" t="n">
        <v>0</v>
      </c>
      <c r="I37" s="6">
        <f>IF(OR(G37="",H37=""),"",G37*H37)</f>
        <v/>
      </c>
    </row>
    <row r="38">
      <c r="A38" s="2" t="inlineStr">
        <is>
          <t>Muros Exteriores</t>
        </is>
      </c>
      <c r="B38" s="3" t="inlineStr">
        <is>
          <t>1.1. ELEMENTOS ESTRUCTURALES</t>
        </is>
      </c>
      <c r="C38" s="3" t="inlineStr">
        <is>
          <t>General</t>
        </is>
      </c>
      <c r="D38" s="3" t="inlineStr">
        <is>
          <t>MAD ASER, ESTRUC, PINO, IMPREG SECO, CALIB, 41x185,3.2</t>
        </is>
      </c>
      <c r="E38" s="3" t="inlineStr">
        <is>
          <t>MADE0033</t>
        </is>
      </c>
      <c r="F38" s="3" t="inlineStr">
        <is>
          <t>UN</t>
        </is>
      </c>
      <c r="G38" s="4" t="n">
        <v>0.7</v>
      </c>
      <c r="H38" s="5" t="n">
        <v>11526.87</v>
      </c>
      <c r="I38" s="6">
        <f>IF(OR(G38="",H38=""),"",G38*H38)</f>
        <v/>
      </c>
    </row>
    <row r="39">
      <c r="A39" s="2" t="inlineStr">
        <is>
          <t>Muros Exteriores</t>
        </is>
      </c>
      <c r="B39" s="3" t="inlineStr">
        <is>
          <t>1.1. ELEMENTOS ESTRUCTURALES</t>
        </is>
      </c>
      <c r="C39" s="3" t="inlineStr">
        <is>
          <t>General</t>
        </is>
      </c>
      <c r="D39" s="3" t="inlineStr">
        <is>
          <t>MAD ASER, ESTRUC,  PINO, IMPREG SECO, CALIB, 41x90,2.4</t>
        </is>
      </c>
      <c r="E39" s="3" t="inlineStr">
        <is>
          <t>MADE0037</t>
        </is>
      </c>
      <c r="F39" s="3" t="inlineStr">
        <is>
          <t>UN</t>
        </is>
      </c>
      <c r="G39" s="4" t="n">
        <v>33</v>
      </c>
      <c r="H39" s="5" t="n">
        <v>0</v>
      </c>
      <c r="I39" s="6">
        <f>IF(OR(G39="",H39=""),"",G39*H39)</f>
        <v/>
      </c>
    </row>
    <row r="40">
      <c r="A40" s="2" t="inlineStr">
        <is>
          <t>Muros Exteriores</t>
        </is>
      </c>
      <c r="B40" s="3" t="inlineStr">
        <is>
          <t>1.1. ELEMENTOS ESTRUCTURALES</t>
        </is>
      </c>
      <c r="C40" s="3" t="inlineStr">
        <is>
          <t>General</t>
        </is>
      </c>
      <c r="D40" s="3" t="inlineStr">
        <is>
          <t>MAD ASER, ESTRUC, PINO, IMPREG SECO, CALIB, 41x90,3.2</t>
        </is>
      </c>
      <c r="E40" s="3" t="inlineStr">
        <is>
          <t>MADE0040</t>
        </is>
      </c>
      <c r="F40" s="3" t="inlineStr">
        <is>
          <t>UN</t>
        </is>
      </c>
      <c r="G40" s="4" t="n">
        <v>165</v>
      </c>
      <c r="H40" s="5" t="n">
        <v>5511.81</v>
      </c>
      <c r="I40" s="6">
        <f>IF(OR(G40="",H40=""),"",G40*H40)</f>
        <v/>
      </c>
    </row>
    <row r="41">
      <c r="A41" s="2" t="inlineStr">
        <is>
          <t>Muros Exteriores</t>
        </is>
      </c>
      <c r="B41" s="3" t="inlineStr">
        <is>
          <t>1.1. ELEMENTOS ESTRUCTURALES</t>
        </is>
      </c>
      <c r="C41" s="3" t="inlineStr">
        <is>
          <t>General</t>
        </is>
      </c>
      <c r="D41" s="3" t="inlineStr">
        <is>
          <t>CLAVO R20 034X100 BK 96MM (1500UN)</t>
        </is>
      </c>
      <c r="E41" s="3" t="inlineStr">
        <is>
          <t>FIJA0031</t>
        </is>
      </c>
      <c r="F41" s="3" t="inlineStr">
        <is>
          <t>CAJA</t>
        </is>
      </c>
      <c r="G41" s="4" t="n">
        <v>1.3</v>
      </c>
      <c r="H41" s="5" t="n">
        <v>24000</v>
      </c>
      <c r="I41" s="6">
        <f>IF(OR(G41="",H41=""),"",G41*H41)</f>
        <v/>
      </c>
    </row>
    <row r="42">
      <c r="A42" s="2" t="inlineStr">
        <is>
          <t>Muros Exteriores</t>
        </is>
      </c>
      <c r="B42" s="3" t="inlineStr">
        <is>
          <t>1.1. ELEMENTOS ESTRUCTURALES</t>
        </is>
      </c>
      <c r="C42" s="3" t="inlineStr">
        <is>
          <t>General</t>
        </is>
      </c>
      <c r="D42" s="3" t="inlineStr">
        <is>
          <t>PLACA ESTRUCTURALl AS 3  (76,2mm) x 6  (152mm)</t>
        </is>
      </c>
      <c r="E42" s="3" t="inlineStr">
        <is>
          <t>FIJA0279</t>
        </is>
      </c>
      <c r="F42" s="3" t="inlineStr">
        <is>
          <t>UN</t>
        </is>
      </c>
      <c r="G42" s="4" t="n">
        <v>34</v>
      </c>
      <c r="H42" s="5" t="n">
        <v>360.05</v>
      </c>
      <c r="I42" s="6">
        <f>IF(OR(G42="",H42=""),"",G42*H42)</f>
        <v/>
      </c>
    </row>
    <row r="43">
      <c r="A43" t="inlineStr"/>
      <c r="B43" t="inlineStr"/>
      <c r="C43" t="inlineStr"/>
      <c r="D43" s="7" t="inlineStr">
        <is>
          <t>Subtotal Muros Exteriores</t>
        </is>
      </c>
      <c r="E43" t="inlineStr"/>
      <c r="F43" t="inlineStr"/>
      <c r="G43" t="inlineStr"/>
      <c r="H43" t="inlineStr"/>
      <c r="I43" s="8">
        <f>SUM(I37:I42)</f>
        <v/>
      </c>
    </row>
    <row r="44">
      <c r="A44" s="2" t="inlineStr">
        <is>
          <t>Escalera de Madera - Puelo</t>
        </is>
      </c>
      <c r="B44" s="3" t="inlineStr">
        <is>
          <t>1.2. ELEMENTOS NO ESTRUCTURALES</t>
        </is>
      </c>
      <c r="C44" s="3" t="inlineStr">
        <is>
          <t>General</t>
        </is>
      </c>
      <c r="D44" s="3" t="inlineStr">
        <is>
          <t>BARNIZ VITRIFICANTE POLIURETANO GALON</t>
        </is>
      </c>
      <c r="E44" s="3" t="inlineStr">
        <is>
          <t>REVT0147</t>
        </is>
      </c>
      <c r="F44" s="3" t="inlineStr">
        <is>
          <t>UN</t>
        </is>
      </c>
      <c r="G44" s="4" t="n">
        <v>0.15</v>
      </c>
      <c r="H44" s="5" t="n">
        <v>29660</v>
      </c>
      <c r="I44" s="6">
        <f>IF(OR(G44="",H44=""),"",G44*H44)</f>
        <v/>
      </c>
    </row>
    <row r="45">
      <c r="A45" s="2" t="inlineStr">
        <is>
          <t>Escalera de Madera - Puelo</t>
        </is>
      </c>
      <c r="B45" s="3" t="inlineStr">
        <is>
          <t>1.2. ELEMENTOS NO ESTRUCTURALES</t>
        </is>
      </c>
      <c r="C45" s="3" t="inlineStr">
        <is>
          <t>General</t>
        </is>
      </c>
      <c r="D45" s="3" t="inlineStr">
        <is>
          <t>PINO 2 X 10 X 3.20 MT CEPILLADO SECO</t>
        </is>
      </c>
      <c r="E45" s="3" t="inlineStr">
        <is>
          <t>MADE0008</t>
        </is>
      </c>
      <c r="F45" s="3" t="inlineStr">
        <is>
          <t>UN</t>
        </is>
      </c>
      <c r="G45" s="4" t="n">
        <v>6</v>
      </c>
      <c r="H45" s="5" t="n">
        <v>9883.209999999999</v>
      </c>
      <c r="I45" s="6">
        <f>IF(OR(G45="",H45=""),"",G45*H45)</f>
        <v/>
      </c>
    </row>
    <row r="46">
      <c r="A46" s="2" t="inlineStr">
        <is>
          <t>Escalera de Madera - Puelo</t>
        </is>
      </c>
      <c r="B46" s="3" t="inlineStr">
        <is>
          <t>1.2. ELEMENTOS NO ESTRUCTURALES</t>
        </is>
      </c>
      <c r="C46" s="3" t="inlineStr">
        <is>
          <t>General</t>
        </is>
      </c>
      <c r="D46" s="3" t="inlineStr">
        <is>
          <t>TIRAFONDO HBS 8X100</t>
        </is>
      </c>
      <c r="E46" s="3" t="inlineStr">
        <is>
          <t>FIJA0332</t>
        </is>
      </c>
      <c r="F46" s="3" t="inlineStr">
        <is>
          <t>UN</t>
        </is>
      </c>
      <c r="G46" s="4" t="n">
        <v>44</v>
      </c>
      <c r="H46" s="5" t="n">
        <v>140.43</v>
      </c>
      <c r="I46" s="6">
        <f>IF(OR(G46="",H46=""),"",G46*H46)</f>
        <v/>
      </c>
    </row>
    <row r="47">
      <c r="A47" s="2" t="inlineStr">
        <is>
          <t>Escalera de Madera - Puelo</t>
        </is>
      </c>
      <c r="B47" s="3" t="inlineStr">
        <is>
          <t>1.2. ELEMENTOS NO ESTRUCTURALES</t>
        </is>
      </c>
      <c r="C47" s="3" t="inlineStr">
        <is>
          <t>General</t>
        </is>
      </c>
      <c r="D47" s="3" t="inlineStr">
        <is>
          <t>MAD ASER, ESTRUC, PINO, IMPREG SECO, CALIB, 41x185,3.2</t>
        </is>
      </c>
      <c r="E47" s="3" t="inlineStr">
        <is>
          <t>MADE0033</t>
        </is>
      </c>
      <c r="F47" s="3" t="inlineStr">
        <is>
          <t>UN</t>
        </is>
      </c>
      <c r="G47" s="4" t="n">
        <v>1</v>
      </c>
      <c r="H47" s="5" t="n">
        <v>11526.87</v>
      </c>
      <c r="I47" s="6">
        <f>IF(OR(G47="",H47=""),"",G47*H47)</f>
        <v/>
      </c>
    </row>
    <row r="48">
      <c r="A48" s="2" t="inlineStr">
        <is>
          <t>Escalera de Madera - Puelo</t>
        </is>
      </c>
      <c r="B48" s="3" t="inlineStr">
        <is>
          <t>1.2. ELEMENTOS NO ESTRUCTURALES</t>
        </is>
      </c>
      <c r="C48" s="3" t="inlineStr">
        <is>
          <t>General</t>
        </is>
      </c>
      <c r="D48" s="3" t="inlineStr">
        <is>
          <t>MAD ASER, ESTRUC, PINO, IMPREG SECO, CALIB, 41x90,3.2</t>
        </is>
      </c>
      <c r="E48" s="3" t="inlineStr">
        <is>
          <t>MADE0040</t>
        </is>
      </c>
      <c r="F48" s="3" t="inlineStr">
        <is>
          <t>UN</t>
        </is>
      </c>
      <c r="G48" s="4" t="n">
        <v>5</v>
      </c>
      <c r="H48" s="5" t="n">
        <v>5511.81</v>
      </c>
      <c r="I48" s="6">
        <f>IF(OR(G48="",H48=""),"",G48*H48)</f>
        <v/>
      </c>
    </row>
    <row r="49">
      <c r="A49" s="2" t="inlineStr">
        <is>
          <t>Escalera de Madera - Puelo</t>
        </is>
      </c>
      <c r="B49" s="3" t="inlineStr">
        <is>
          <t>1.2. ELEMENTOS NO ESTRUCTURALES</t>
        </is>
      </c>
      <c r="C49" s="3" t="inlineStr">
        <is>
          <t>General</t>
        </is>
      </c>
      <c r="D49" s="3" t="inlineStr">
        <is>
          <t>TUBO REDONDO 1 3/4 PULGX2MMX6MT</t>
        </is>
      </c>
      <c r="E49" s="3" t="inlineStr">
        <is>
          <t>ACER0094</t>
        </is>
      </c>
      <c r="F49" s="3" t="inlineStr">
        <is>
          <t>UN</t>
        </is>
      </c>
      <c r="G49" s="4" t="n">
        <v>0.04</v>
      </c>
      <c r="H49" s="5" t="n">
        <v>0</v>
      </c>
      <c r="I49" s="6">
        <f>IF(OR(G49="",H49=""),"",G49*H49)</f>
        <v/>
      </c>
    </row>
    <row r="50">
      <c r="A50" s="2" t="inlineStr">
        <is>
          <t>Escalera de Madera - Puelo</t>
        </is>
      </c>
      <c r="B50" s="3" t="inlineStr">
        <is>
          <t>1.2. ELEMENTOS NO ESTRUCTURALES</t>
        </is>
      </c>
      <c r="C50" s="3" t="inlineStr">
        <is>
          <t>General</t>
        </is>
      </c>
      <c r="D50" s="3" t="inlineStr">
        <is>
          <t>TIRAFONDO TBS 8X100</t>
        </is>
      </c>
      <c r="E50" s="3" t="inlineStr">
        <is>
          <t>FIJA0229</t>
        </is>
      </c>
      <c r="F50" s="3" t="inlineStr">
        <is>
          <t>UN</t>
        </is>
      </c>
      <c r="G50" s="4" t="n">
        <v>6</v>
      </c>
      <c r="H50" s="5" t="n">
        <v>133.83</v>
      </c>
      <c r="I50" s="6">
        <f>IF(OR(G50="",H50=""),"",G50*H50)</f>
        <v/>
      </c>
    </row>
    <row r="51">
      <c r="A51" s="2" t="inlineStr">
        <is>
          <t>Escalera de Madera - Puelo</t>
        </is>
      </c>
      <c r="B51" s="3" t="inlineStr">
        <is>
          <t>1.2. ELEMENTOS NO ESTRUCTURALES</t>
        </is>
      </c>
      <c r="C51" s="3" t="inlineStr">
        <is>
          <t>General</t>
        </is>
      </c>
      <c r="D51" s="3" t="inlineStr">
        <is>
          <t>TIRAFONDO TBS 8X140</t>
        </is>
      </c>
      <c r="E51" s="3" t="inlineStr">
        <is>
          <t>FIJA0231</t>
        </is>
      </c>
      <c r="F51" s="3" t="inlineStr">
        <is>
          <t>UN</t>
        </is>
      </c>
      <c r="G51" s="4" t="n">
        <v>3</v>
      </c>
      <c r="H51" s="5" t="n">
        <v>207.46</v>
      </c>
      <c r="I51" s="6">
        <f>IF(OR(G51="",H51=""),"",G51*H51)</f>
        <v/>
      </c>
    </row>
    <row r="52">
      <c r="A52" t="inlineStr"/>
      <c r="B52" t="inlineStr"/>
      <c r="C52" t="inlineStr"/>
      <c r="D52" s="7" t="inlineStr">
        <is>
          <t>Subtotal Escalera de Madera - Puelo</t>
        </is>
      </c>
      <c r="E52" t="inlineStr"/>
      <c r="F52" t="inlineStr"/>
      <c r="G52" t="inlineStr"/>
      <c r="H52" t="inlineStr"/>
      <c r="I52" s="8">
        <f>SUM(I44:I51)</f>
        <v/>
      </c>
    </row>
    <row r="53">
      <c r="A53" s="2" t="inlineStr">
        <is>
          <t>Entramado de pino</t>
        </is>
      </c>
      <c r="B53" s="3" t="inlineStr">
        <is>
          <t>1.2. ELEMENTOS NO ESTRUCTURALES</t>
        </is>
      </c>
      <c r="C53" s="3" t="inlineStr">
        <is>
          <t>General</t>
        </is>
      </c>
      <c r="D53" s="3" t="inlineStr">
        <is>
          <t>MAD ASER, ESTRUC,  PINO, IMPREG SECO, CALIB, 41x90,2.4</t>
        </is>
      </c>
      <c r="E53" s="3" t="inlineStr">
        <is>
          <t>MADE0037</t>
        </is>
      </c>
      <c r="F53" s="3" t="inlineStr">
        <is>
          <t>UN</t>
        </is>
      </c>
      <c r="G53" s="4" t="n">
        <v>31</v>
      </c>
      <c r="H53" s="5" t="n">
        <v>0</v>
      </c>
      <c r="I53" s="6">
        <f>IF(OR(G53="",H53=""),"",G53*H53)</f>
        <v/>
      </c>
    </row>
    <row r="54">
      <c r="A54" s="2" t="inlineStr">
        <is>
          <t>Entramado de pino</t>
        </is>
      </c>
      <c r="B54" s="3" t="inlineStr">
        <is>
          <t>1.2. ELEMENTOS NO ESTRUCTURALES</t>
        </is>
      </c>
      <c r="C54" s="3" t="inlineStr">
        <is>
          <t>General</t>
        </is>
      </c>
      <c r="D54" s="3" t="inlineStr">
        <is>
          <t>MAD ASER, ESTRUC, PINO, IMPREG SECO, CALIB, 41x90,3.2</t>
        </is>
      </c>
      <c r="E54" s="3" t="inlineStr">
        <is>
          <t>MADE0040</t>
        </is>
      </c>
      <c r="F54" s="3" t="inlineStr">
        <is>
          <t>UN</t>
        </is>
      </c>
      <c r="G54" s="4" t="n">
        <v>6</v>
      </c>
      <c r="H54" s="5" t="n">
        <v>5511.81</v>
      </c>
      <c r="I54" s="6">
        <f>IF(OR(G54="",H54=""),"",G54*H54)</f>
        <v/>
      </c>
    </row>
    <row r="55">
      <c r="A55" s="2" t="inlineStr">
        <is>
          <t>Entramado de pino</t>
        </is>
      </c>
      <c r="B55" s="3" t="inlineStr">
        <is>
          <t>1.2. ELEMENTOS NO ESTRUCTURALES</t>
        </is>
      </c>
      <c r="C55" s="3" t="inlineStr">
        <is>
          <t>General</t>
        </is>
      </c>
      <c r="D55" s="3" t="inlineStr">
        <is>
          <t>CLAVO R20 034X100 BK 96MM (1500UN)</t>
        </is>
      </c>
      <c r="E55" s="3" t="inlineStr">
        <is>
          <t>FIJA0031</t>
        </is>
      </c>
      <c r="F55" s="3" t="inlineStr">
        <is>
          <t>CAJA</t>
        </is>
      </c>
      <c r="G55" s="4" t="n">
        <v>0.26</v>
      </c>
      <c r="H55" s="5" t="n">
        <v>24000</v>
      </c>
      <c r="I55" s="6">
        <f>IF(OR(G55="",H55=""),"",G55*H55)</f>
        <v/>
      </c>
    </row>
    <row r="56">
      <c r="A56" s="2" t="inlineStr">
        <is>
          <t>Entramado de pino</t>
        </is>
      </c>
      <c r="B56" s="3" t="inlineStr">
        <is>
          <t>1.2. ELEMENTOS NO ESTRUCTURALES</t>
        </is>
      </c>
      <c r="C56" s="3" t="inlineStr">
        <is>
          <t>General</t>
        </is>
      </c>
      <c r="D56" s="3" t="inlineStr">
        <is>
          <t>PLACA ESTRUCTURALl AS 3  (76,2mm) x 6  (152mm)</t>
        </is>
      </c>
      <c r="E56" s="3" t="inlineStr">
        <is>
          <t>FIJA0279</t>
        </is>
      </c>
      <c r="F56" s="3" t="inlineStr">
        <is>
          <t>UN</t>
        </is>
      </c>
      <c r="G56" s="4" t="n">
        <v>7</v>
      </c>
      <c r="H56" s="5" t="n">
        <v>360.05</v>
      </c>
      <c r="I56" s="6">
        <f>IF(OR(G56="",H56=""),"",G56*H56)</f>
        <v/>
      </c>
    </row>
    <row r="57">
      <c r="A57" t="inlineStr"/>
      <c r="B57" t="inlineStr"/>
      <c r="C57" t="inlineStr"/>
      <c r="D57" s="7" t="inlineStr">
        <is>
          <t>Subtotal Entramado de pino</t>
        </is>
      </c>
      <c r="E57" t="inlineStr"/>
      <c r="F57" t="inlineStr"/>
      <c r="G57" t="inlineStr"/>
      <c r="H57" t="inlineStr"/>
      <c r="I57" s="8">
        <f>SUM(I53:I56)</f>
        <v/>
      </c>
    </row>
    <row r="58">
      <c r="A58" s="2" t="inlineStr">
        <is>
          <t>Armado Fabrica</t>
        </is>
      </c>
      <c r="B58" s="3" t="inlineStr">
        <is>
          <t>1.3. UNIONES METALICAS Y ANCLAJES</t>
        </is>
      </c>
      <c r="C58" s="3" t="inlineStr">
        <is>
          <t>General</t>
        </is>
      </c>
      <c r="D58" s="3" t="inlineStr">
        <is>
          <t>TIRAFONDO TBS 6X80</t>
        </is>
      </c>
      <c r="E58" s="3" t="inlineStr">
        <is>
          <t>FIJA0253</t>
        </is>
      </c>
      <c r="F58" s="3" t="inlineStr">
        <is>
          <t>UN</t>
        </is>
      </c>
      <c r="G58" s="4" t="n">
        <v>60</v>
      </c>
      <c r="H58" s="5" t="n">
        <v>62.54</v>
      </c>
      <c r="I58" s="6">
        <f>IF(OR(G58="",H58=""),"",G58*H58)</f>
        <v/>
      </c>
    </row>
    <row r="59">
      <c r="A59" s="2" t="inlineStr">
        <is>
          <t>Armado Fabrica</t>
        </is>
      </c>
      <c r="B59" s="3" t="inlineStr">
        <is>
          <t>1.3. UNIONES METALICAS Y ANCLAJES</t>
        </is>
      </c>
      <c r="C59" s="3" t="inlineStr">
        <is>
          <t>General</t>
        </is>
      </c>
      <c r="D59" s="3" t="inlineStr">
        <is>
          <t>TIRAFONDO TBS 6X100</t>
        </is>
      </c>
      <c r="E59" s="3" t="inlineStr">
        <is>
          <t>FIJA0221</t>
        </is>
      </c>
      <c r="F59" s="3" t="inlineStr">
        <is>
          <t>UN</t>
        </is>
      </c>
      <c r="G59" s="4" t="n">
        <v>46</v>
      </c>
      <c r="H59" s="5" t="n">
        <v>170.39</v>
      </c>
      <c r="I59" s="6">
        <f>IF(OR(G59="",H59=""),"",G59*H59)</f>
        <v/>
      </c>
    </row>
    <row r="60">
      <c r="A60" s="2" t="inlineStr">
        <is>
          <t>Armado Fabrica</t>
        </is>
      </c>
      <c r="B60" s="3" t="inlineStr">
        <is>
          <t>1.3. UNIONES METALICAS Y ANCLAJES</t>
        </is>
      </c>
      <c r="C60" s="3" t="inlineStr">
        <is>
          <t>General</t>
        </is>
      </c>
      <c r="D60" s="3" t="inlineStr">
        <is>
          <t>TIRAFONDO TBS 8X100</t>
        </is>
      </c>
      <c r="E60" s="3" t="inlineStr">
        <is>
          <t>FIJA0229</t>
        </is>
      </c>
      <c r="F60" s="3" t="inlineStr">
        <is>
          <t>UN</t>
        </is>
      </c>
      <c r="G60" s="4" t="n">
        <v>86</v>
      </c>
      <c r="H60" s="5" t="n">
        <v>133.83</v>
      </c>
      <c r="I60" s="6">
        <f>IF(OR(G60="",H60=""),"",G60*H60)</f>
        <v/>
      </c>
    </row>
    <row r="61">
      <c r="A61" s="2" t="inlineStr">
        <is>
          <t>Armado Fabrica</t>
        </is>
      </c>
      <c r="B61" s="3" t="inlineStr">
        <is>
          <t>1.3. UNIONES METALICAS Y ANCLAJES</t>
        </is>
      </c>
      <c r="C61" s="3" t="inlineStr">
        <is>
          <t>General</t>
        </is>
      </c>
      <c r="D61" s="3" t="inlineStr">
        <is>
          <t>TIRAFONDO TBS 8X140</t>
        </is>
      </c>
      <c r="E61" s="3" t="inlineStr">
        <is>
          <t>FIJA0231</t>
        </is>
      </c>
      <c r="F61" s="3" t="inlineStr">
        <is>
          <t>UN</t>
        </is>
      </c>
      <c r="G61" s="4" t="n">
        <v>76</v>
      </c>
      <c r="H61" s="5" t="n">
        <v>207.46</v>
      </c>
      <c r="I61" s="6">
        <f>IF(OR(G61="",H61=""),"",G61*H61)</f>
        <v/>
      </c>
    </row>
    <row r="62">
      <c r="A62" s="2" t="inlineStr">
        <is>
          <t>Armado Fabrica</t>
        </is>
      </c>
      <c r="B62" s="3" t="inlineStr">
        <is>
          <t>1.3. UNIONES METALICAS Y ANCLAJES</t>
        </is>
      </c>
      <c r="C62" s="3" t="inlineStr">
        <is>
          <t>General</t>
        </is>
      </c>
      <c r="D62" s="3" t="inlineStr">
        <is>
          <t>TIRAFONDO TBS 8X160</t>
        </is>
      </c>
      <c r="E62" s="3" t="inlineStr">
        <is>
          <t>FIJA0232</t>
        </is>
      </c>
      <c r="F62" s="3" t="inlineStr">
        <is>
          <t>UN</t>
        </is>
      </c>
      <c r="G62" s="4" t="n">
        <v>12</v>
      </c>
      <c r="H62" s="5" t="n">
        <v>314.24</v>
      </c>
      <c r="I62" s="6">
        <f>IF(OR(G62="",H62=""),"",G62*H62)</f>
        <v/>
      </c>
    </row>
    <row r="63">
      <c r="A63" s="2" t="inlineStr">
        <is>
          <t>Armado Fabrica</t>
        </is>
      </c>
      <c r="B63" s="3" t="inlineStr">
        <is>
          <t>1.3. UNIONES METALICAS Y ANCLAJES</t>
        </is>
      </c>
      <c r="C63" s="3" t="inlineStr">
        <is>
          <t>General</t>
        </is>
      </c>
      <c r="D63" s="3" t="inlineStr">
        <is>
          <t>TIRAFONDO HBS 5X80</t>
        </is>
      </c>
      <c r="E63" s="3" t="inlineStr">
        <is>
          <t>FIJA0487</t>
        </is>
      </c>
      <c r="F63" s="3" t="inlineStr">
        <is>
          <t>UN</t>
        </is>
      </c>
      <c r="G63" s="4" t="n">
        <v>19</v>
      </c>
      <c r="H63" s="5" t="n">
        <v>53.41</v>
      </c>
      <c r="I63" s="6">
        <f>IF(OR(G63="",H63=""),"",G63*H63)</f>
        <v/>
      </c>
    </row>
    <row r="64">
      <c r="A64" s="2" t="inlineStr">
        <is>
          <t>Armado Fabrica</t>
        </is>
      </c>
      <c r="B64" s="3" t="inlineStr">
        <is>
          <t>1.3. UNIONES METALICAS Y ANCLAJES</t>
        </is>
      </c>
      <c r="C64" s="3" t="inlineStr">
        <is>
          <t>General</t>
        </is>
      </c>
      <c r="D64" s="3" t="inlineStr">
        <is>
          <t>PUNTILLAS 1 1/2</t>
        </is>
      </c>
      <c r="E64" s="3" t="inlineStr">
        <is>
          <t>FIJA0260</t>
        </is>
      </c>
      <c r="F64" s="3" t="inlineStr">
        <is>
          <t>KG</t>
        </is>
      </c>
      <c r="G64" s="4" t="n">
        <v>0.01</v>
      </c>
      <c r="H64" s="5" t="n">
        <v>3055.66</v>
      </c>
      <c r="I64" s="6">
        <f>IF(OR(G64="",H64=""),"",G64*H64)</f>
        <v/>
      </c>
    </row>
    <row r="65">
      <c r="A65" t="inlineStr"/>
      <c r="B65" t="inlineStr"/>
      <c r="C65" t="inlineStr"/>
      <c r="D65" s="7" t="inlineStr">
        <is>
          <t>Subtotal Armado Fabrica</t>
        </is>
      </c>
      <c r="E65" t="inlineStr"/>
      <c r="F65" t="inlineStr"/>
      <c r="G65" t="inlineStr"/>
      <c r="H65" t="inlineStr"/>
      <c r="I65" s="8">
        <f>SUM(I58:I64)</f>
        <v/>
      </c>
    </row>
    <row r="66">
      <c r="A66" s="2" t="inlineStr">
        <is>
          <t>Conectores de Vigas</t>
        </is>
      </c>
      <c r="B66" s="3" t="inlineStr">
        <is>
          <t>1.3. UNIONES METALICAS Y ANCLAJES</t>
        </is>
      </c>
      <c r="C66" s="3" t="inlineStr">
        <is>
          <t>General</t>
        </is>
      </c>
      <c r="D66" s="3" t="inlineStr">
        <is>
          <t>2 X 6IN MEDIUM L ANGLE ZMAX ML26Z</t>
        </is>
      </c>
      <c r="E66" s="3" t="inlineStr">
        <is>
          <t>FIJA0345</t>
        </is>
      </c>
      <c r="F66" s="3" t="inlineStr">
        <is>
          <t>UN</t>
        </is>
      </c>
      <c r="G66" s="4" t="n">
        <v>9</v>
      </c>
      <c r="H66" s="5" t="n">
        <v>2834</v>
      </c>
      <c r="I66" s="6">
        <f>IF(OR(G66="",H66=""),"",G66*H66)</f>
        <v/>
      </c>
    </row>
    <row r="67">
      <c r="A67" s="2" t="inlineStr">
        <is>
          <t>Conectores de Vigas</t>
        </is>
      </c>
      <c r="B67" s="3" t="inlineStr">
        <is>
          <t>1.3. UNIONES METALICAS Y ANCLAJES</t>
        </is>
      </c>
      <c r="C67" s="3" t="inlineStr">
        <is>
          <t>General</t>
        </is>
      </c>
      <c r="D67" s="3" t="inlineStr">
        <is>
          <t>TORNILLO PARA CONECTOR SDS 1/4 X 1. 1/2 SDS25112</t>
        </is>
      </c>
      <c r="E67" s="3" t="inlineStr">
        <is>
          <t>FIJA0429</t>
        </is>
      </c>
      <c r="F67" s="3" t="inlineStr">
        <is>
          <t>UN</t>
        </is>
      </c>
      <c r="G67" s="4" t="n">
        <v>72</v>
      </c>
      <c r="H67" s="5" t="n">
        <v>180</v>
      </c>
      <c r="I67" s="6">
        <f>IF(OR(G67="",H67=""),"",G67*H67)</f>
        <v/>
      </c>
    </row>
    <row r="68">
      <c r="A68" t="inlineStr"/>
      <c r="B68" t="inlineStr"/>
      <c r="C68" t="inlineStr"/>
      <c r="D68" s="7" t="inlineStr">
        <is>
          <t>Subtotal Conectores de Vigas</t>
        </is>
      </c>
      <c r="E68" t="inlineStr"/>
      <c r="F68" t="inlineStr"/>
      <c r="G68" t="inlineStr"/>
      <c r="H68" t="inlineStr"/>
      <c r="I68" s="8">
        <f>SUM(I66:I67)</f>
        <v/>
      </c>
    </row>
    <row r="69">
      <c r="A69" s="2" t="inlineStr">
        <is>
          <t>Fleje Entrepiso</t>
        </is>
      </c>
      <c r="B69" s="3" t="inlineStr">
        <is>
          <t>1.3. UNIONES METALICAS Y ANCLAJES</t>
        </is>
      </c>
      <c r="C69" s="3" t="inlineStr">
        <is>
          <t>General</t>
        </is>
      </c>
      <c r="D69" s="3" t="inlineStr">
        <is>
          <t>14GA 52-1/2FT COILED STRAP CMST14</t>
        </is>
      </c>
      <c r="E69" s="3" t="inlineStr">
        <is>
          <t>FIJA0344</t>
        </is>
      </c>
      <c r="F69" s="3" t="inlineStr">
        <is>
          <t>ROLLO</t>
        </is>
      </c>
      <c r="G69" s="4" t="n">
        <v>0.27</v>
      </c>
      <c r="H69" s="5" t="n">
        <v>162997</v>
      </c>
      <c r="I69" s="6">
        <f>IF(OR(G69="",H69=""),"",G69*H69)</f>
        <v/>
      </c>
    </row>
    <row r="70">
      <c r="A70" s="2" t="inlineStr">
        <is>
          <t>Fleje Entrepiso</t>
        </is>
      </c>
      <c r="B70" s="3" t="inlineStr">
        <is>
          <t>1.3. UNIONES METALICAS Y ANCLAJES</t>
        </is>
      </c>
      <c r="C70" s="3" t="inlineStr">
        <is>
          <t>General</t>
        </is>
      </c>
      <c r="D70" s="3" t="inlineStr">
        <is>
          <t>CLAVO GALVANIZADO EN CALIENTE 10D 3.8MM X 76.2MM 50UNI</t>
        </is>
      </c>
      <c r="E70" s="3" t="inlineStr">
        <is>
          <t>FIJA0349</t>
        </is>
      </c>
      <c r="F70" s="3" t="inlineStr">
        <is>
          <t>UN</t>
        </is>
      </c>
      <c r="G70" s="4" t="n">
        <v>112</v>
      </c>
      <c r="H70" s="5" t="n">
        <v>59</v>
      </c>
      <c r="I70" s="6">
        <f>IF(OR(G70="",H70=""),"",G70*H70)</f>
        <v/>
      </c>
    </row>
    <row r="71">
      <c r="A71" t="inlineStr"/>
      <c r="B71" t="inlineStr"/>
      <c r="C71" t="inlineStr"/>
      <c r="D71" s="7" t="inlineStr">
        <is>
          <t>Subtotal Fleje Entrepiso</t>
        </is>
      </c>
      <c r="E71" t="inlineStr"/>
      <c r="F71" t="inlineStr"/>
      <c r="G71" t="inlineStr"/>
      <c r="H71" t="inlineStr"/>
      <c r="I71" s="8">
        <f>SUM(I69:I70)</f>
        <v/>
      </c>
    </row>
    <row r="72">
      <c r="A72" s="2" t="inlineStr">
        <is>
          <t xml:space="preserve">Herramientas </t>
        </is>
      </c>
      <c r="B72" s="3" t="inlineStr">
        <is>
          <t>1.3. UNIONES METALICAS Y ANCLAJES</t>
        </is>
      </c>
      <c r="C72" s="3" t="inlineStr">
        <is>
          <t>General</t>
        </is>
      </c>
      <c r="D72" s="3" t="inlineStr">
        <is>
          <t>LAPIZ BICOLOR</t>
        </is>
      </c>
      <c r="E72" s="3" t="inlineStr">
        <is>
          <t>HERR0114</t>
        </is>
      </c>
      <c r="F72" s="3" t="inlineStr">
        <is>
          <t>UN</t>
        </is>
      </c>
      <c r="G72" s="4" t="n">
        <v>0.01</v>
      </c>
      <c r="H72" s="5" t="n">
        <v>422.27</v>
      </c>
      <c r="I72" s="6">
        <f>IF(OR(G72="",H72=""),"",G72*H72)</f>
        <v/>
      </c>
    </row>
    <row r="73">
      <c r="A73" s="2" t="inlineStr">
        <is>
          <t xml:space="preserve">Herramientas </t>
        </is>
      </c>
      <c r="B73" s="3" t="inlineStr">
        <is>
          <t>1.3. UNIONES METALICAS Y ANCLAJES</t>
        </is>
      </c>
      <c r="C73" s="3" t="inlineStr">
        <is>
          <t>General</t>
        </is>
      </c>
      <c r="D73" s="3" t="inlineStr">
        <is>
          <t>LAPIZ CARPINTERO</t>
        </is>
      </c>
      <c r="E73" s="3" t="inlineStr">
        <is>
          <t>HERR0316</t>
        </is>
      </c>
      <c r="F73" s="3" t="inlineStr">
        <is>
          <t>UN</t>
        </is>
      </c>
      <c r="G73" s="4" t="n">
        <v>0.01</v>
      </c>
      <c r="H73" s="5" t="n">
        <v>171.39</v>
      </c>
      <c r="I73" s="6">
        <f>IF(OR(G73="",H73=""),"",G73*H73)</f>
        <v/>
      </c>
    </row>
    <row r="74">
      <c r="A74" s="2" t="inlineStr">
        <is>
          <t xml:space="preserve">Herramientas </t>
        </is>
      </c>
      <c r="B74" s="3" t="inlineStr">
        <is>
          <t>1.3. UNIONES METALICAS Y ANCLAJES</t>
        </is>
      </c>
      <c r="C74" s="3" t="inlineStr">
        <is>
          <t>General</t>
        </is>
      </c>
      <c r="D74" s="3" t="inlineStr">
        <is>
          <t>PUNTA MAGNETICA 5/16 8MMX65MM</t>
        </is>
      </c>
      <c r="E74" s="3" t="inlineStr">
        <is>
          <t>VARI0103</t>
        </is>
      </c>
      <c r="F74" s="3" t="inlineStr">
        <is>
          <t>UN</t>
        </is>
      </c>
      <c r="G74" s="4" t="n">
        <v>0.01</v>
      </c>
      <c r="H74" s="5" t="n">
        <v>1355.84</v>
      </c>
      <c r="I74" s="6">
        <f>IF(OR(G74="",H74=""),"",G74*H74)</f>
        <v/>
      </c>
    </row>
    <row r="75">
      <c r="A75" s="2" t="inlineStr">
        <is>
          <t xml:space="preserve">Herramientas </t>
        </is>
      </c>
      <c r="B75" s="3" t="inlineStr">
        <is>
          <t>1.3. UNIONES METALICAS Y ANCLAJES</t>
        </is>
      </c>
      <c r="C75" s="3" t="inlineStr">
        <is>
          <t>General</t>
        </is>
      </c>
      <c r="D75" s="3" t="inlineStr">
        <is>
          <t>PUNTA THOR TX-20</t>
        </is>
      </c>
      <c r="E75" s="3" t="inlineStr">
        <is>
          <t>HERR0185</t>
        </is>
      </c>
      <c r="F75" s="3" t="inlineStr">
        <is>
          <t>UN</t>
        </is>
      </c>
      <c r="G75" s="4" t="n">
        <v>0.01</v>
      </c>
      <c r="H75" s="5" t="n">
        <v>418.52</v>
      </c>
      <c r="I75" s="6">
        <f>IF(OR(G75="",H75=""),"",G75*H75)</f>
        <v/>
      </c>
    </row>
    <row r="76">
      <c r="A76" s="2" t="inlineStr">
        <is>
          <t xml:space="preserve">Herramientas </t>
        </is>
      </c>
      <c r="B76" s="3" t="inlineStr">
        <is>
          <t>1.3. UNIONES METALICAS Y ANCLAJES</t>
        </is>
      </c>
      <c r="C76" s="3" t="inlineStr">
        <is>
          <t>General</t>
        </is>
      </c>
      <c r="D76" s="3" t="inlineStr">
        <is>
          <t>PUNTA THOR T-25</t>
        </is>
      </c>
      <c r="E76" s="3" t="inlineStr">
        <is>
          <t>HERR0184</t>
        </is>
      </c>
      <c r="F76" s="3" t="inlineStr">
        <is>
          <t>UN</t>
        </is>
      </c>
      <c r="G76" s="4" t="n">
        <v>0.01</v>
      </c>
      <c r="H76" s="5" t="n">
        <v>511.2</v>
      </c>
      <c r="I76" s="6">
        <f>IF(OR(G76="",H76=""),"",G76*H76)</f>
        <v/>
      </c>
    </row>
    <row r="77">
      <c r="A77" s="2" t="inlineStr">
        <is>
          <t xml:space="preserve">Herramientas </t>
        </is>
      </c>
      <c r="B77" s="3" t="inlineStr">
        <is>
          <t>1.3. UNIONES METALICAS Y ANCLAJES</t>
        </is>
      </c>
      <c r="C77" s="3" t="inlineStr">
        <is>
          <t>General</t>
        </is>
      </c>
      <c r="D77" s="3" t="inlineStr">
        <is>
          <t>PUNTA THOR TX-30</t>
        </is>
      </c>
      <c r="E77" s="3" t="inlineStr">
        <is>
          <t>HERR0186</t>
        </is>
      </c>
      <c r="F77" s="3" t="inlineStr">
        <is>
          <t>UN</t>
        </is>
      </c>
      <c r="G77" s="4" t="n">
        <v>0.01</v>
      </c>
      <c r="H77" s="5" t="n">
        <v>503.24</v>
      </c>
      <c r="I77" s="6">
        <f>IF(OR(G77="",H77=""),"",G77*H77)</f>
        <v/>
      </c>
    </row>
    <row r="78">
      <c r="A78" s="2" t="inlineStr">
        <is>
          <t xml:space="preserve">Herramientas </t>
        </is>
      </c>
      <c r="B78" s="3" t="inlineStr">
        <is>
          <t>1.3. UNIONES METALICAS Y ANCLAJES</t>
        </is>
      </c>
      <c r="C78" s="3" t="inlineStr">
        <is>
          <t>General</t>
        </is>
      </c>
      <c r="D78" s="3" t="inlineStr">
        <is>
          <t>PUNTA THOR TX-40</t>
        </is>
      </c>
      <c r="E78" s="3" t="inlineStr">
        <is>
          <t>HERR0187</t>
        </is>
      </c>
      <c r="F78" s="3" t="inlineStr">
        <is>
          <t>UN</t>
        </is>
      </c>
      <c r="G78" s="4" t="n">
        <v>0.01</v>
      </c>
      <c r="H78" s="5" t="n">
        <v>462.1</v>
      </c>
      <c r="I78" s="6">
        <f>IF(OR(G78="",H78=""),"",G78*H78)</f>
        <v/>
      </c>
    </row>
    <row r="79">
      <c r="A79" s="2" t="inlineStr">
        <is>
          <t xml:space="preserve">Herramientas </t>
        </is>
      </c>
      <c r="B79" s="3" t="inlineStr">
        <is>
          <t>1.3. UNIONES METALICAS Y ANCLAJES</t>
        </is>
      </c>
      <c r="C79" s="3" t="inlineStr">
        <is>
          <t>General</t>
        </is>
      </c>
      <c r="D79" s="3" t="inlineStr">
        <is>
          <t>PUNTA PHILLIPS PUNTA CRUZ</t>
        </is>
      </c>
      <c r="E79" s="3" t="inlineStr">
        <is>
          <t>HERR0290</t>
        </is>
      </c>
      <c r="F79" s="3" t="inlineStr">
        <is>
          <t>UN</t>
        </is>
      </c>
      <c r="G79" s="4" t="n">
        <v>0.01</v>
      </c>
      <c r="H79" s="5" t="n">
        <v>238.33</v>
      </c>
      <c r="I79" s="6">
        <f>IF(OR(G79="",H79=""),"",G79*H79)</f>
        <v/>
      </c>
    </row>
    <row r="80">
      <c r="A80" s="2" t="inlineStr">
        <is>
          <t xml:space="preserve">Herramientas </t>
        </is>
      </c>
      <c r="B80" s="3" t="inlineStr">
        <is>
          <t>1.3. UNIONES METALICAS Y ANCLAJES</t>
        </is>
      </c>
      <c r="C80" s="3" t="inlineStr">
        <is>
          <t>General</t>
        </is>
      </c>
      <c r="D80" s="3" t="inlineStr">
        <is>
          <t>HOJA SIERRA BIMETALICA 1/2 x 12 in 24 DIENTES</t>
        </is>
      </c>
      <c r="E80" s="3" t="inlineStr">
        <is>
          <t>HERR0570</t>
        </is>
      </c>
      <c r="F80" s="3" t="inlineStr">
        <is>
          <t>UN</t>
        </is>
      </c>
      <c r="G80" s="4" t="n">
        <v>0.01</v>
      </c>
      <c r="H80" s="5" t="n">
        <v>1151.44</v>
      </c>
      <c r="I80" s="6">
        <f>IF(OR(G80="",H80=""),"",G80*H80)</f>
        <v/>
      </c>
    </row>
    <row r="81">
      <c r="A81" s="2" t="inlineStr">
        <is>
          <t xml:space="preserve">Herramientas </t>
        </is>
      </c>
      <c r="B81" s="3" t="inlineStr">
        <is>
          <t>1.3. UNIONES METALICAS Y ANCLAJES</t>
        </is>
      </c>
      <c r="C81" s="3" t="inlineStr">
        <is>
          <t>General</t>
        </is>
      </c>
      <c r="D81" s="3" t="inlineStr">
        <is>
          <t>HOJA DE SIERRA</t>
        </is>
      </c>
      <c r="E81" s="3" t="inlineStr">
        <is>
          <t>HERR0749</t>
        </is>
      </c>
      <c r="F81" s="3" t="inlineStr">
        <is>
          <t>UN</t>
        </is>
      </c>
      <c r="G81" s="4" t="n">
        <v>0.01</v>
      </c>
      <c r="H81" s="5" t="n">
        <v>747.4299999999999</v>
      </c>
      <c r="I81" s="6">
        <f>IF(OR(G81="",H81=""),"",G81*H81)</f>
        <v/>
      </c>
    </row>
    <row r="82">
      <c r="A82" s="2" t="inlineStr">
        <is>
          <t xml:space="preserve">Herramientas </t>
        </is>
      </c>
      <c r="B82" s="3" t="inlineStr">
        <is>
          <t>1.3. UNIONES METALICAS Y ANCLAJES</t>
        </is>
      </c>
      <c r="C82" s="3" t="inlineStr">
        <is>
          <t>General</t>
        </is>
      </c>
      <c r="D82" s="3" t="inlineStr">
        <is>
          <t>HOJA REPUESTO CARTONERO ANCHO</t>
        </is>
      </c>
      <c r="E82" s="3" t="inlineStr">
        <is>
          <t>VARI0061</t>
        </is>
      </c>
      <c r="F82" s="3" t="inlineStr">
        <is>
          <t>UN</t>
        </is>
      </c>
      <c r="G82" s="4" t="n">
        <v>0.01</v>
      </c>
      <c r="H82" s="5" t="n">
        <v>74</v>
      </c>
      <c r="I82" s="6">
        <f>IF(OR(G82="",H82=""),"",G82*H82)</f>
        <v/>
      </c>
    </row>
    <row r="83">
      <c r="A83" t="inlineStr"/>
      <c r="B83" t="inlineStr"/>
      <c r="C83" t="inlineStr"/>
      <c r="D83" s="7" t="inlineStr">
        <is>
          <t xml:space="preserve">Subtotal Herramientas </t>
        </is>
      </c>
      <c r="E83" t="inlineStr"/>
      <c r="F83" t="inlineStr"/>
      <c r="G83" t="inlineStr"/>
      <c r="H83" t="inlineStr"/>
      <c r="I83" s="8">
        <f>SUM(I72:I82)</f>
        <v/>
      </c>
    </row>
    <row r="84">
      <c r="A84" s="2" t="inlineStr">
        <is>
          <t>Holdown - WHT 440</t>
        </is>
      </c>
      <c r="B84" s="3" t="inlineStr">
        <is>
          <t>1.3. UNIONES METALICAS Y ANCLAJES</t>
        </is>
      </c>
      <c r="C84" s="3" t="inlineStr">
        <is>
          <t>General</t>
        </is>
      </c>
      <c r="D84" s="3" t="inlineStr">
        <is>
          <t>WHT PLACE C PLACA MADERA-HORMGON 60X440X3</t>
        </is>
      </c>
      <c r="E84" s="3" t="inlineStr">
        <is>
          <t>FIJA0347</t>
        </is>
      </c>
      <c r="F84" s="3" t="inlineStr">
        <is>
          <t>UN</t>
        </is>
      </c>
      <c r="G84" s="4" t="n">
        <v>4</v>
      </c>
      <c r="H84" s="5" t="n">
        <v>9190</v>
      </c>
      <c r="I84" s="6">
        <f>IF(OR(G84="",H84=""),"",G84*H84)</f>
        <v/>
      </c>
    </row>
    <row r="85">
      <c r="A85" s="2" t="inlineStr">
        <is>
          <t>Holdown - WHT 440</t>
        </is>
      </c>
      <c r="B85" s="3" t="inlineStr">
        <is>
          <t>1.3. UNIONES METALICAS Y ANCLAJES</t>
        </is>
      </c>
      <c r="C85" s="3" t="inlineStr">
        <is>
          <t>General</t>
        </is>
      </c>
      <c r="D85" s="3" t="inlineStr">
        <is>
          <t>ANCLAJE TITEN 1/2x4 ZINCADO</t>
        </is>
      </c>
      <c r="E85" s="3" t="inlineStr">
        <is>
          <t>FIJA0246</t>
        </is>
      </c>
      <c r="F85" s="3" t="inlineStr">
        <is>
          <t>UN</t>
        </is>
      </c>
      <c r="G85" s="4" t="n">
        <v>4</v>
      </c>
      <c r="H85" s="5" t="n">
        <v>1613</v>
      </c>
      <c r="I85" s="6">
        <f>IF(OR(G85="",H85=""),"",G85*H85)</f>
        <v/>
      </c>
    </row>
    <row r="86">
      <c r="A86" s="2" t="inlineStr">
        <is>
          <t>Holdown - WHT 440</t>
        </is>
      </c>
      <c r="B86" s="3" t="inlineStr">
        <is>
          <t>1.3. UNIONES METALICAS Y ANCLAJES</t>
        </is>
      </c>
      <c r="C86" s="3" t="inlineStr">
        <is>
          <t>General</t>
        </is>
      </c>
      <c r="D86" s="3" t="inlineStr">
        <is>
          <t>CLAVO GALVANIZADO EN CALIENTE 10D 3.8MM X 76.2MM 50UNI</t>
        </is>
      </c>
      <c r="E86" s="3" t="inlineStr">
        <is>
          <t>FIJA0349</t>
        </is>
      </c>
      <c r="F86" s="3" t="inlineStr">
        <is>
          <t>UN</t>
        </is>
      </c>
      <c r="G86" s="4" t="n">
        <v>72</v>
      </c>
      <c r="H86" s="5" t="n">
        <v>59</v>
      </c>
      <c r="I86" s="6">
        <f>IF(OR(G86="",H86=""),"",G86*H86)</f>
        <v/>
      </c>
    </row>
    <row r="87">
      <c r="A87" t="inlineStr"/>
      <c r="B87" t="inlineStr"/>
      <c r="C87" t="inlineStr"/>
      <c r="D87" s="7" t="inlineStr">
        <is>
          <t>Subtotal Holdown - WHT 440</t>
        </is>
      </c>
      <c r="E87" t="inlineStr"/>
      <c r="F87" t="inlineStr"/>
      <c r="G87" t="inlineStr"/>
      <c r="H87" t="inlineStr"/>
      <c r="I87" s="8">
        <f>SUM(I84:I86)</f>
        <v/>
      </c>
    </row>
    <row r="88">
      <c r="A88" s="2" t="inlineStr">
        <is>
          <t>Placa de Corte - PL1 - Puelo</t>
        </is>
      </c>
      <c r="B88" s="3" t="inlineStr">
        <is>
          <t>1.3. UNIONES METALICAS Y ANCLAJES</t>
        </is>
      </c>
      <c r="C88" s="3" t="inlineStr">
        <is>
          <t>General</t>
        </is>
      </c>
      <c r="D88" s="3" t="inlineStr">
        <is>
          <t>PLACA L - 200+75 X 400 X 5MM</t>
        </is>
      </c>
      <c r="E88" s="3" t="inlineStr">
        <is>
          <t>MAESTRANZA0001</t>
        </is>
      </c>
      <c r="F88" s="3" t="inlineStr">
        <is>
          <t>KG</t>
        </is>
      </c>
      <c r="G88" s="4" t="n"/>
      <c r="H88" s="5" t="n">
        <v>0</v>
      </c>
      <c r="I88" s="6">
        <f>IF(OR(G88="",H88=""),"",G88*H88)</f>
        <v/>
      </c>
    </row>
    <row r="89">
      <c r="A89" s="2" t="inlineStr">
        <is>
          <t>Placa de Corte - PL1 - Puelo</t>
        </is>
      </c>
      <c r="B89" s="3" t="inlineStr">
        <is>
          <t>1.3. UNIONES METALICAS Y ANCLAJES</t>
        </is>
      </c>
      <c r="C89" s="3" t="inlineStr">
        <is>
          <t>General</t>
        </is>
      </c>
      <c r="D89" s="3" t="inlineStr">
        <is>
          <t>ANCLAJE TITEN 1/2x4 ZINCADO</t>
        </is>
      </c>
      <c r="E89" s="3" t="inlineStr">
        <is>
          <t>FIJA0246</t>
        </is>
      </c>
      <c r="F89" s="3" t="inlineStr">
        <is>
          <t>UN</t>
        </is>
      </c>
      <c r="G89" s="4" t="n">
        <v>8</v>
      </c>
      <c r="H89" s="5" t="n">
        <v>1613</v>
      </c>
      <c r="I89" s="6">
        <f>IF(OR(G89="",H89=""),"",G89*H89)</f>
        <v/>
      </c>
    </row>
    <row r="90">
      <c r="A90" s="2" t="inlineStr">
        <is>
          <t>Placa de Corte - PL1 - Puelo</t>
        </is>
      </c>
      <c r="B90" s="3" t="inlineStr">
        <is>
          <t>1.3. UNIONES METALICAS Y ANCLAJES</t>
        </is>
      </c>
      <c r="C90" s="3" t="inlineStr">
        <is>
          <t>General</t>
        </is>
      </c>
      <c r="D90" s="3" t="inlineStr">
        <is>
          <t>TIRAFONDO TBS 10X100</t>
        </is>
      </c>
      <c r="E90" s="3" t="inlineStr">
        <is>
          <t>FIJA0410</t>
        </is>
      </c>
      <c r="F90" s="3" t="inlineStr">
        <is>
          <t>UN</t>
        </is>
      </c>
      <c r="G90" s="4" t="n">
        <v>16</v>
      </c>
      <c r="H90" s="5" t="n">
        <v>388.66</v>
      </c>
      <c r="I90" s="6">
        <f>IF(OR(G90="",H90=""),"",G90*H90)</f>
        <v/>
      </c>
    </row>
    <row r="91">
      <c r="A91" s="2" t="inlineStr">
        <is>
          <t>Placa de Corte - PL1 - Puelo</t>
        </is>
      </c>
      <c r="B91" s="3" t="inlineStr">
        <is>
          <t>1.3. UNIONES METALICAS Y ANCLAJES</t>
        </is>
      </c>
      <c r="C91" s="3" t="inlineStr">
        <is>
          <t>General</t>
        </is>
      </c>
      <c r="D91" s="3" t="inlineStr">
        <is>
          <t>PERFIL RECTANGULAR 200 X 100 X 5 X 6000MM</t>
        </is>
      </c>
      <c r="E91" s="3" t="inlineStr">
        <is>
          <t>ACER0044</t>
        </is>
      </c>
      <c r="F91" s="3" t="inlineStr">
        <is>
          <t>UN</t>
        </is>
      </c>
      <c r="G91" s="4" t="n">
        <v>0.13</v>
      </c>
      <c r="H91" s="5" t="n">
        <v>0</v>
      </c>
      <c r="I91" s="6">
        <f>IF(OR(G91="",H91=""),"",G91*H91)</f>
        <v/>
      </c>
    </row>
    <row r="92">
      <c r="A92" t="inlineStr"/>
      <c r="B92" t="inlineStr"/>
      <c r="C92" t="inlineStr"/>
      <c r="D92" s="7" t="inlineStr">
        <is>
          <t>Subtotal Placa de Corte - PL1 - Puelo</t>
        </is>
      </c>
      <c r="E92" t="inlineStr"/>
      <c r="F92" t="inlineStr"/>
      <c r="G92" t="inlineStr"/>
      <c r="H92" t="inlineStr"/>
      <c r="I92" s="8">
        <f>SUM(I88:I91)</f>
        <v/>
      </c>
    </row>
    <row r="93">
      <c r="A93" s="2" t="inlineStr">
        <is>
          <t>Tornillos Techumbre - EPS</t>
        </is>
      </c>
      <c r="B93" s="3" t="inlineStr">
        <is>
          <t>1.3. UNIONES METALICAS Y ANCLAJES</t>
        </is>
      </c>
      <c r="C93" s="3" t="inlineStr">
        <is>
          <t>General</t>
        </is>
      </c>
      <c r="D93" s="3" t="inlineStr">
        <is>
          <t>TIRAFONDO TBS 6X240</t>
        </is>
      </c>
      <c r="E93" s="3" t="inlineStr">
        <is>
          <t>LEGACY-1071</t>
        </is>
      </c>
      <c r="F93" s="3" t="inlineStr">
        <is>
          <t>UN</t>
        </is>
      </c>
      <c r="G93" s="4" t="n"/>
      <c r="H93" s="5" t="n">
        <v>0</v>
      </c>
      <c r="I93" s="6">
        <f>IF(OR(G93="",H93=""),"",G93*H93)</f>
        <v/>
      </c>
    </row>
    <row r="94">
      <c r="A94" s="2" t="inlineStr">
        <is>
          <t>Tornillos Techumbre - EPS</t>
        </is>
      </c>
      <c r="B94" s="3" t="inlineStr">
        <is>
          <t>1.3. UNIONES METALICAS Y ANCLAJES</t>
        </is>
      </c>
      <c r="C94" s="3" t="inlineStr">
        <is>
          <t>General</t>
        </is>
      </c>
      <c r="D94" s="3" t="inlineStr">
        <is>
          <t>TIRAFONDO TBS 8X250</t>
        </is>
      </c>
      <c r="E94" s="3" t="inlineStr">
        <is>
          <t>FIJA0498</t>
        </is>
      </c>
      <c r="F94" s="3" t="inlineStr">
        <is>
          <t>UN</t>
        </is>
      </c>
      <c r="G94" s="4" t="n">
        <v>35</v>
      </c>
      <c r="H94" s="5" t="n">
        <v>731</v>
      </c>
      <c r="I94" s="6">
        <f>IF(OR(G94="",H94=""),"",G94*H94)</f>
        <v/>
      </c>
    </row>
    <row r="95">
      <c r="A95" s="2" t="inlineStr">
        <is>
          <t>Tornillos Techumbre - EPS</t>
        </is>
      </c>
      <c r="B95" s="3" t="inlineStr">
        <is>
          <t>1.3. UNIONES METALICAS Y ANCLAJES</t>
        </is>
      </c>
      <c r="C95" s="3" t="inlineStr">
        <is>
          <t>General</t>
        </is>
      </c>
      <c r="D95" s="3" t="inlineStr">
        <is>
          <t>TORNILLO ESTRUCTURAL DOBLE ROSCA Ø 8.0 X 275MM PROTEC + T40</t>
        </is>
      </c>
      <c r="E95" s="3" t="inlineStr">
        <is>
          <t>FIJA0499</t>
        </is>
      </c>
      <c r="F95" s="3" t="inlineStr">
        <is>
          <t>UN</t>
        </is>
      </c>
      <c r="G95" s="4" t="n">
        <v>16</v>
      </c>
      <c r="H95" s="5" t="n">
        <v>1438.94</v>
      </c>
      <c r="I95" s="6">
        <f>IF(OR(G95="",H95=""),"",G95*H95)</f>
        <v/>
      </c>
    </row>
    <row r="96">
      <c r="A96" s="2" t="inlineStr">
        <is>
          <t>Tornillos Techumbre - EPS</t>
        </is>
      </c>
      <c r="B96" s="3" t="inlineStr">
        <is>
          <t>1.3. UNIONES METALICAS Y ANCLAJES</t>
        </is>
      </c>
      <c r="C96" s="3" t="inlineStr">
        <is>
          <t>General</t>
        </is>
      </c>
      <c r="D96" s="3" t="inlineStr">
        <is>
          <t>TIRAFONDO TBS 6X100</t>
        </is>
      </c>
      <c r="E96" s="3" t="inlineStr">
        <is>
          <t>FIJA0221</t>
        </is>
      </c>
      <c r="F96" s="3" t="inlineStr">
        <is>
          <t>UN</t>
        </is>
      </c>
      <c r="G96" s="4" t="n">
        <v>5</v>
      </c>
      <c r="H96" s="5" t="n">
        <v>170.39</v>
      </c>
      <c r="I96" s="6">
        <f>IF(OR(G96="",H96=""),"",G96*H96)</f>
        <v/>
      </c>
    </row>
    <row r="97">
      <c r="A97" t="inlineStr"/>
      <c r="B97" t="inlineStr"/>
      <c r="C97" t="inlineStr"/>
      <c r="D97" s="7" t="inlineStr">
        <is>
          <t>Subtotal Tornillos Techumbre - EPS</t>
        </is>
      </c>
      <c r="E97" t="inlineStr"/>
      <c r="F97" t="inlineStr"/>
      <c r="G97" t="inlineStr"/>
      <c r="H97" t="inlineStr"/>
      <c r="I97" s="8">
        <f>SUM(I93:I96)</f>
        <v/>
      </c>
    </row>
    <row r="98">
      <c r="A98" s="2" t="inlineStr">
        <is>
          <t>EPS</t>
        </is>
      </c>
      <c r="B98" s="3" t="inlineStr">
        <is>
          <t>2.1. AISLACIÓN TÉRMICA</t>
        </is>
      </c>
      <c r="C98" s="3" t="inlineStr">
        <is>
          <t>General</t>
        </is>
      </c>
      <c r="D98" s="3" t="inlineStr">
        <is>
          <t>POLIESTIRENO EXPANDIDO A/D 4000X1000X130MM 10 KG M3</t>
        </is>
      </c>
      <c r="E98" s="3" t="inlineStr">
        <is>
          <t>AISL0027</t>
        </is>
      </c>
      <c r="F98" s="3" t="inlineStr">
        <is>
          <t>M2</t>
        </is>
      </c>
      <c r="G98" s="4" t="n">
        <v>24</v>
      </c>
      <c r="H98" s="5" t="n">
        <v>4043</v>
      </c>
      <c r="I98" s="6">
        <f>IF(OR(G98="",H98=""),"",G98*H98)</f>
        <v/>
      </c>
    </row>
    <row r="99">
      <c r="A99" s="2" t="inlineStr">
        <is>
          <t>EPS</t>
        </is>
      </c>
      <c r="B99" s="3" t="inlineStr">
        <is>
          <t>2.1. AISLACIÓN TÉRMICA</t>
        </is>
      </c>
      <c r="C99" s="3" t="inlineStr">
        <is>
          <t>General</t>
        </is>
      </c>
      <c r="D99" s="3" t="inlineStr">
        <is>
          <t>ESPUMA POLIURETANO ADHESIVA EP7000 750 ML (GUN GRADE)</t>
        </is>
      </c>
      <c r="E99" s="3" t="inlineStr">
        <is>
          <t>SELL0064</t>
        </is>
      </c>
      <c r="F99" s="3" t="inlineStr">
        <is>
          <t>UN</t>
        </is>
      </c>
      <c r="G99" s="4" t="n">
        <v>2</v>
      </c>
      <c r="H99" s="5" t="n">
        <v>6480</v>
      </c>
      <c r="I99" s="6">
        <f>IF(OR(G99="",H99=""),"",G99*H99)</f>
        <v/>
      </c>
    </row>
    <row r="100">
      <c r="A100" t="inlineStr"/>
      <c r="B100" t="inlineStr"/>
      <c r="C100" t="inlineStr"/>
      <c r="D100" s="7" t="inlineStr">
        <is>
          <t>Subtotal EPS</t>
        </is>
      </c>
      <c r="E100" t="inlineStr"/>
      <c r="F100" t="inlineStr"/>
      <c r="G100" t="inlineStr"/>
      <c r="H100" t="inlineStr"/>
      <c r="I100" s="8">
        <f>SUM(I98:I99)</f>
        <v/>
      </c>
    </row>
    <row r="101">
      <c r="A101" s="2" t="inlineStr">
        <is>
          <t>Lana en Rollo</t>
        </is>
      </c>
      <c r="B101" s="3" t="inlineStr">
        <is>
          <t>2.1. AISLACIÓN TÉRMICA</t>
        </is>
      </c>
      <c r="C101" s="3" t="inlineStr">
        <is>
          <t>General</t>
        </is>
      </c>
      <c r="D101" s="3" t="inlineStr">
        <is>
          <t>GRAPA PROFIX 80/12MM X 120.000 UN X CAJA - SAP 1924</t>
        </is>
      </c>
      <c r="E101" s="3" t="inlineStr">
        <is>
          <t>FIJA0057</t>
        </is>
      </c>
      <c r="F101" s="3" t="inlineStr">
        <is>
          <t>UN</t>
        </is>
      </c>
      <c r="G101" s="4" t="n">
        <v>0.001</v>
      </c>
      <c r="H101" s="5" t="n">
        <v>47080.07</v>
      </c>
      <c r="I101" s="6">
        <f>IF(OR(G101="",H101=""),"",G101*H101)</f>
        <v/>
      </c>
    </row>
    <row r="102">
      <c r="A102" s="2" t="inlineStr">
        <is>
          <t>Lana en Rollo</t>
        </is>
      </c>
      <c r="B102" s="3" t="inlineStr">
        <is>
          <t>2.1. AISLACIÓN TÉRMICA</t>
        </is>
      </c>
      <c r="C102" s="3" t="inlineStr">
        <is>
          <t>General</t>
        </is>
      </c>
      <c r="D102" s="3" t="inlineStr">
        <is>
          <t>AISLA POLIESTER 36M2 50MMX2,4X15M (FISITERM)</t>
        </is>
      </c>
      <c r="E102" s="3" t="inlineStr">
        <is>
          <t>AISL0023</t>
        </is>
      </c>
      <c r="F102" s="3" t="inlineStr">
        <is>
          <t>ROLLO</t>
        </is>
      </c>
      <c r="G102" s="4" t="n">
        <v>0.36</v>
      </c>
      <c r="H102" s="5" t="n">
        <v>43798</v>
      </c>
      <c r="I102" s="6">
        <f>IF(OR(G102="",H102=""),"",G102*H102)</f>
        <v/>
      </c>
    </row>
    <row r="103">
      <c r="A103" t="inlineStr"/>
      <c r="B103" t="inlineStr"/>
      <c r="C103" t="inlineStr"/>
      <c r="D103" s="7" t="inlineStr">
        <is>
          <t>Subtotal Lana en Rollo</t>
        </is>
      </c>
      <c r="E103" t="inlineStr"/>
      <c r="F103" t="inlineStr"/>
      <c r="G103" t="inlineStr"/>
      <c r="H103" t="inlineStr"/>
      <c r="I103" s="8">
        <f>SUM(I101:I102)</f>
        <v/>
      </c>
    </row>
    <row r="104">
      <c r="A104" s="2" t="inlineStr">
        <is>
          <t>Panel Aislacor</t>
        </is>
      </c>
      <c r="B104" s="3" t="inlineStr">
        <is>
          <t>2.1. AISLACIÓN TÉRMICA</t>
        </is>
      </c>
      <c r="C104" s="3" t="inlineStr">
        <is>
          <t>General</t>
        </is>
      </c>
      <c r="D104" s="3" t="inlineStr">
        <is>
          <t>PANEL AISLANTE DE 365 MM X 1350 MM X 70 MM</t>
        </is>
      </c>
      <c r="E104" s="3" t="inlineStr">
        <is>
          <t>AISL0028</t>
        </is>
      </c>
      <c r="F104" s="3" t="inlineStr">
        <is>
          <t>UN</t>
        </is>
      </c>
      <c r="G104" s="4" t="n">
        <v>46</v>
      </c>
      <c r="H104" s="5" t="n">
        <v>1255</v>
      </c>
      <c r="I104" s="6">
        <f>IF(OR(G104="",H104=""),"",G104*H104)</f>
        <v/>
      </c>
    </row>
    <row r="105">
      <c r="A105" s="2" t="inlineStr">
        <is>
          <t>Panel Aislacor</t>
        </is>
      </c>
      <c r="B105" s="3" t="inlineStr">
        <is>
          <t>2.1. AISLACIÓN TÉRMICA</t>
        </is>
      </c>
      <c r="C105" s="3" t="inlineStr">
        <is>
          <t>General</t>
        </is>
      </c>
      <c r="D105" s="3" t="inlineStr">
        <is>
          <t>PANEL AISLANTE DE 1305 MM X 675 MM X 70 MM</t>
        </is>
      </c>
      <c r="E105" s="3" t="inlineStr">
        <is>
          <t>AISL0029</t>
        </is>
      </c>
      <c r="F105" s="3" t="inlineStr">
        <is>
          <t>UN</t>
        </is>
      </c>
      <c r="G105" s="4" t="n">
        <v>12</v>
      </c>
      <c r="H105" s="5" t="n">
        <v>2244</v>
      </c>
      <c r="I105" s="6">
        <f>IF(OR(G105="",H105=""),"",G105*H105)</f>
        <v/>
      </c>
    </row>
    <row r="106">
      <c r="A106" s="2" t="inlineStr">
        <is>
          <t>Panel Aislacor</t>
        </is>
      </c>
      <c r="B106" s="3" t="inlineStr">
        <is>
          <t>2.1. AISLACIÓN TÉRMICA</t>
        </is>
      </c>
      <c r="C106" s="3" t="inlineStr">
        <is>
          <t>General</t>
        </is>
      </c>
      <c r="D106" s="3" t="inlineStr">
        <is>
          <t>PANEL AISLANTE DE 1305 MM X 1350 MM X 70 MM</t>
        </is>
      </c>
      <c r="E106" s="3" t="inlineStr">
        <is>
          <t>AISL0030</t>
        </is>
      </c>
      <c r="F106" s="3" t="inlineStr">
        <is>
          <t>UN</t>
        </is>
      </c>
      <c r="G106" s="4" t="n">
        <v>55</v>
      </c>
      <c r="H106" s="5" t="n">
        <v>4264.27</v>
      </c>
      <c r="I106" s="6">
        <f>IF(OR(G106="",H106=""),"",G106*H106)</f>
        <v/>
      </c>
    </row>
    <row r="107">
      <c r="A107" s="2" t="inlineStr">
        <is>
          <t>Panel Aislacor</t>
        </is>
      </c>
      <c r="B107" s="3" t="inlineStr">
        <is>
          <t>2.1. AISLACIÓN TÉRMICA</t>
        </is>
      </c>
      <c r="C107" s="3" t="inlineStr">
        <is>
          <t>General</t>
        </is>
      </c>
      <c r="D107" s="3" t="inlineStr">
        <is>
          <t>PANEL AISLANTE DE 1305 MM X 797 MM X 70 MM</t>
        </is>
      </c>
      <c r="E107" s="3" t="inlineStr">
        <is>
          <t>AISL0031</t>
        </is>
      </c>
      <c r="F107" s="3" t="inlineStr">
        <is>
          <t>UN</t>
        </is>
      </c>
      <c r="G107" s="4" t="n">
        <v>7</v>
      </c>
      <c r="H107" s="5" t="n">
        <v>2629.09</v>
      </c>
      <c r="I107" s="6">
        <f>IF(OR(G107="",H107=""),"",G107*H107)</f>
        <v/>
      </c>
    </row>
    <row r="108">
      <c r="A108" s="2" t="inlineStr">
        <is>
          <t>Panel Aislacor</t>
        </is>
      </c>
      <c r="B108" s="3" t="inlineStr">
        <is>
          <t>2.1. AISLACIÓN TÉRMICA</t>
        </is>
      </c>
      <c r="C108" s="3" t="inlineStr">
        <is>
          <t>General</t>
        </is>
      </c>
      <c r="D108" s="3" t="inlineStr">
        <is>
          <t>PANEL AISLANTE DE 310 MM X 1063 MM X 50 MM</t>
        </is>
      </c>
      <c r="E108" s="3" t="inlineStr">
        <is>
          <t>AISL0032</t>
        </is>
      </c>
      <c r="F108" s="3" t="inlineStr">
        <is>
          <t>UN</t>
        </is>
      </c>
      <c r="G108" s="4" t="n">
        <v>9</v>
      </c>
      <c r="H108" s="5" t="n">
        <v>2098.5</v>
      </c>
      <c r="I108" s="6">
        <f>IF(OR(G108="",H108=""),"",G108*H108)</f>
        <v/>
      </c>
    </row>
    <row r="109">
      <c r="A109" s="2" t="inlineStr">
        <is>
          <t>Panel Aislacor</t>
        </is>
      </c>
      <c r="B109" s="3" t="inlineStr">
        <is>
          <t>2.1. AISLACIÓN TÉRMICA</t>
        </is>
      </c>
      <c r="C109" s="3" t="inlineStr">
        <is>
          <t>General</t>
        </is>
      </c>
      <c r="D109" s="3" t="inlineStr">
        <is>
          <t>PANEL AISLANTE DE 1470 MM X 1063 MM X 50 MM</t>
        </is>
      </c>
      <c r="E109" s="3" t="inlineStr">
        <is>
          <t>AISL0033</t>
        </is>
      </c>
      <c r="F109" s="3" t="inlineStr">
        <is>
          <t>UN</t>
        </is>
      </c>
      <c r="G109" s="4" t="n">
        <v>14</v>
      </c>
      <c r="H109" s="5" t="n">
        <v>3235</v>
      </c>
      <c r="I109" s="6">
        <f>IF(OR(G109="",H109=""),"",G109*H109)</f>
        <v/>
      </c>
    </row>
    <row r="110">
      <c r="A110" t="inlineStr"/>
      <c r="B110" t="inlineStr"/>
      <c r="C110" t="inlineStr"/>
      <c r="D110" s="7" t="inlineStr">
        <is>
          <t>Subtotal Panel Aislacor</t>
        </is>
      </c>
      <c r="E110" t="inlineStr"/>
      <c r="F110" t="inlineStr"/>
      <c r="G110" t="inlineStr"/>
      <c r="H110" t="inlineStr"/>
      <c r="I110" s="8">
        <f>SUM(I104:I109)</f>
        <v/>
      </c>
    </row>
    <row r="111">
      <c r="A111" s="2" t="inlineStr">
        <is>
          <t>Barrera de Vapor</t>
        </is>
      </c>
      <c r="B111" s="3" t="inlineStr">
        <is>
          <t>2.2. BARRERAS IMPERMEABLES, VIENTO Y VAPOR</t>
        </is>
      </c>
      <c r="C111" s="3" t="inlineStr">
        <is>
          <t>General</t>
        </is>
      </c>
      <c r="D111" s="3" t="inlineStr">
        <is>
          <t>POLIETILENO TRANSPARENTE 200 MICRAS 3 PARA 6 MTS PH</t>
        </is>
      </c>
      <c r="E111" s="3" t="inlineStr">
        <is>
          <t>VARI0379</t>
        </is>
      </c>
      <c r="F111" s="3" t="inlineStr">
        <is>
          <t>ROLLO</t>
        </is>
      </c>
      <c r="G111" s="4" t="n">
        <v>1.12</v>
      </c>
      <c r="H111" s="5" t="n">
        <v>103000</v>
      </c>
      <c r="I111" s="6">
        <f>IF(OR(G111="",H111=""),"",G111*H111)</f>
        <v/>
      </c>
    </row>
    <row r="112">
      <c r="A112" s="2" t="inlineStr">
        <is>
          <t>Barrera de Vapor</t>
        </is>
      </c>
      <c r="B112" s="3" t="inlineStr">
        <is>
          <t>2.2. BARRERAS IMPERMEABLES, VIENTO Y VAPOR</t>
        </is>
      </c>
      <c r="C112" s="3" t="inlineStr">
        <is>
          <t>General</t>
        </is>
      </c>
      <c r="D112" s="3" t="inlineStr">
        <is>
          <t>GRAPA PROFIX 80/12MM X 120.000 UN X CAJA - SAP 1924</t>
        </is>
      </c>
      <c r="E112" s="3" t="inlineStr">
        <is>
          <t>FIJA0057</t>
        </is>
      </c>
      <c r="F112" s="3" t="inlineStr">
        <is>
          <t>UN</t>
        </is>
      </c>
      <c r="G112" s="4" t="n">
        <v>0.016</v>
      </c>
      <c r="H112" s="5" t="n">
        <v>47080.07</v>
      </c>
      <c r="I112" s="6">
        <f>IF(OR(G112="",H112=""),"",G112*H112)</f>
        <v/>
      </c>
    </row>
    <row r="113">
      <c r="A113" t="inlineStr"/>
      <c r="B113" t="inlineStr"/>
      <c r="C113" t="inlineStr"/>
      <c r="D113" s="7" t="inlineStr">
        <is>
          <t>Subtotal Barrera de Vapor</t>
        </is>
      </c>
      <c r="E113" t="inlineStr"/>
      <c r="F113" t="inlineStr"/>
      <c r="G113" t="inlineStr"/>
      <c r="H113" t="inlineStr"/>
      <c r="I113" s="8">
        <f>SUM(I111:I112)</f>
        <v/>
      </c>
    </row>
    <row r="114">
      <c r="A114" s="2" t="inlineStr">
        <is>
          <t>Barrera de Humedad</t>
        </is>
      </c>
      <c r="B114" s="3" t="inlineStr">
        <is>
          <t>2.2. BARRERAS IMPERMEABLES, VIENTO Y VAPOR</t>
        </is>
      </c>
      <c r="C114" s="3" t="inlineStr">
        <is>
          <t>General</t>
        </is>
      </c>
      <c r="D114" s="3" t="inlineStr">
        <is>
          <t>MEMBRANA HIDROFUGA 80G/M2 75M2 IMP</t>
        </is>
      </c>
      <c r="E114" s="3" t="inlineStr">
        <is>
          <t>MEMB0011</t>
        </is>
      </c>
      <c r="F114" s="3" t="inlineStr">
        <is>
          <t>ROLLO</t>
        </is>
      </c>
      <c r="G114" s="4" t="n">
        <v>2.7</v>
      </c>
      <c r="H114" s="5" t="n">
        <v>28469.72</v>
      </c>
      <c r="I114" s="6">
        <f>IF(OR(G114="",H114=""),"",G114*H114)</f>
        <v/>
      </c>
    </row>
    <row r="115">
      <c r="A115" s="2" t="inlineStr">
        <is>
          <t>Barrera de Humedad</t>
        </is>
      </c>
      <c r="B115" s="3" t="inlineStr">
        <is>
          <t>2.2. BARRERAS IMPERMEABLES, VIENTO Y VAPOR</t>
        </is>
      </c>
      <c r="C115" s="3" t="inlineStr">
        <is>
          <t>General</t>
        </is>
      </c>
      <c r="D115" s="3" t="inlineStr">
        <is>
          <t>COLA FRIA 20KG</t>
        </is>
      </c>
      <c r="E115" s="3" t="inlineStr">
        <is>
          <t>ADHE0069</t>
        </is>
      </c>
      <c r="F115" s="3" t="inlineStr">
        <is>
          <t>TINETA</t>
        </is>
      </c>
      <c r="G115" s="4" t="n">
        <v>0.3</v>
      </c>
      <c r="H115" s="5" t="n">
        <v>30791.26</v>
      </c>
      <c r="I115" s="6">
        <f>IF(OR(G115="",H115=""),"",G115*H115)</f>
        <v/>
      </c>
    </row>
    <row r="116">
      <c r="A116" t="inlineStr"/>
      <c r="B116" t="inlineStr"/>
      <c r="C116" t="inlineStr"/>
      <c r="D116" s="7" t="inlineStr">
        <is>
          <t>Subtotal Barrera de Humedad</t>
        </is>
      </c>
      <c r="E116" t="inlineStr"/>
      <c r="F116" t="inlineStr"/>
      <c r="G116" t="inlineStr"/>
      <c r="H116" t="inlineStr"/>
      <c r="I116" s="8">
        <f>SUM(I114:I115)</f>
        <v/>
      </c>
    </row>
    <row r="117">
      <c r="A117" s="2" t="inlineStr">
        <is>
          <t>Barrera Impermeable</t>
        </is>
      </c>
      <c r="B117" s="3" t="inlineStr">
        <is>
          <t>2.2. BARRERAS IMPERMEABLES, VIENTO Y VAPOR</t>
        </is>
      </c>
      <c r="C117" s="3" t="inlineStr">
        <is>
          <t>General</t>
        </is>
      </c>
      <c r="D117" s="3" t="inlineStr">
        <is>
          <t>CAVE POLFLEX 20L</t>
        </is>
      </c>
      <c r="E117" s="3" t="inlineStr">
        <is>
          <t>IMPE0005</t>
        </is>
      </c>
      <c r="F117" s="3" t="inlineStr">
        <is>
          <t>TINETA</t>
        </is>
      </c>
      <c r="G117" s="4" t="n">
        <v>0.23</v>
      </c>
      <c r="H117" s="5" t="n">
        <v>76360.71000000001</v>
      </c>
      <c r="I117" s="6">
        <f>IF(OR(G117="",H117=""),"",G117*H117)</f>
        <v/>
      </c>
    </row>
    <row r="118">
      <c r="A118" s="2" t="inlineStr">
        <is>
          <t>Barrera Impermeable</t>
        </is>
      </c>
      <c r="B118" s="3" t="inlineStr">
        <is>
          <t>2.2. BARRERAS IMPERMEABLES, VIENTO Y VAPOR</t>
        </is>
      </c>
      <c r="C118" s="3" t="inlineStr">
        <is>
          <t>General</t>
        </is>
      </c>
      <c r="D118" s="3" t="inlineStr">
        <is>
          <t>MALLA FABRIC MESH 46ML GRIS</t>
        </is>
      </c>
      <c r="E118" s="3" t="inlineStr">
        <is>
          <t>REVT0078</t>
        </is>
      </c>
      <c r="F118" s="3" t="inlineStr">
        <is>
          <t>ROLLO</t>
        </is>
      </c>
      <c r="G118" s="4" t="n">
        <v>0.25</v>
      </c>
      <c r="H118" s="5" t="n">
        <v>20018.1</v>
      </c>
      <c r="I118" s="6">
        <f>IF(OR(G118="",H118=""),"",G118*H118)</f>
        <v/>
      </c>
    </row>
    <row r="119">
      <c r="A119" t="inlineStr"/>
      <c r="B119" t="inlineStr"/>
      <c r="C119" t="inlineStr"/>
      <c r="D119" s="7" t="inlineStr">
        <is>
          <t>Subtotal Barrera Impermeable</t>
        </is>
      </c>
      <c r="E119" t="inlineStr"/>
      <c r="F119" t="inlineStr"/>
      <c r="G119" t="inlineStr"/>
      <c r="H119" t="inlineStr"/>
      <c r="I119" s="8">
        <f>SUM(I117:I118)</f>
        <v/>
      </c>
    </row>
    <row r="120">
      <c r="A120" s="2" t="inlineStr">
        <is>
          <t>Canales y Bajadas de Aguas Lluvia</t>
        </is>
      </c>
      <c r="B120" s="3" t="inlineStr">
        <is>
          <t>2.3. SOLUCIÓN DE TECHUMBRE Y AGUAS LLUVIA</t>
        </is>
      </c>
      <c r="C120" s="3" t="inlineStr">
        <is>
          <t>General</t>
        </is>
      </c>
      <c r="D120" s="3" t="inlineStr">
        <is>
          <t>CANALETA AGUA LLUVIA PRO 110 [MM] x 4 [M] BLANCA 2028229</t>
        </is>
      </c>
      <c r="E120" s="3" t="inlineStr">
        <is>
          <t>AGLL0004</t>
        </is>
      </c>
      <c r="F120" s="3" t="inlineStr">
        <is>
          <t>UN</t>
        </is>
      </c>
      <c r="G120" s="4" t="n">
        <v>1</v>
      </c>
      <c r="H120" s="5" t="n">
        <v>4359.68</v>
      </c>
      <c r="I120" s="6">
        <f>IF(OR(G120="",H120=""),"",G120*H120)</f>
        <v/>
      </c>
    </row>
    <row r="121">
      <c r="A121" s="2" t="inlineStr">
        <is>
          <t>Canales y Bajadas de Aguas Lluvia</t>
        </is>
      </c>
      <c r="B121" s="3" t="inlineStr">
        <is>
          <t>2.3. SOLUCIÓN DE TECHUMBRE Y AGUAS LLUVIA</t>
        </is>
      </c>
      <c r="C121" s="3" t="inlineStr">
        <is>
          <t>General</t>
        </is>
      </c>
      <c r="D121" s="3" t="inlineStr">
        <is>
          <t>SOPORTE CANALETA BLANCO 2028873</t>
        </is>
      </c>
      <c r="E121" s="3" t="inlineStr">
        <is>
          <t>AGLL0011</t>
        </is>
      </c>
      <c r="F121" s="3" t="inlineStr">
        <is>
          <t>UN</t>
        </is>
      </c>
      <c r="G121" s="4" t="n">
        <v>7</v>
      </c>
      <c r="H121" s="5" t="n">
        <v>405.62</v>
      </c>
      <c r="I121" s="6">
        <f>IF(OR(G121="",H121=""),"",G121*H121)</f>
        <v/>
      </c>
    </row>
    <row r="122">
      <c r="A122" s="2" t="inlineStr">
        <is>
          <t>Canales y Bajadas de Aguas Lluvia</t>
        </is>
      </c>
      <c r="B122" s="3" t="inlineStr">
        <is>
          <t>2.3. SOLUCIÓN DE TECHUMBRE Y AGUAS LLUVIA</t>
        </is>
      </c>
      <c r="C122" s="3" t="inlineStr">
        <is>
          <t>General</t>
        </is>
      </c>
      <c r="D122" s="3" t="inlineStr">
        <is>
          <t>TAPA CANALETA P025 BLANCO UNIVERSAL 2028875</t>
        </is>
      </c>
      <c r="E122" s="3" t="inlineStr">
        <is>
          <t>AGLL0013</t>
        </is>
      </c>
      <c r="F122" s="3" t="inlineStr">
        <is>
          <t>UN</t>
        </is>
      </c>
      <c r="G122" s="4" t="n">
        <v>2</v>
      </c>
      <c r="H122" s="5" t="n">
        <v>526.67</v>
      </c>
      <c r="I122" s="6">
        <f>IF(OR(G122="",H122=""),"",G122*H122)</f>
        <v/>
      </c>
    </row>
    <row r="123">
      <c r="A123" s="2" t="inlineStr">
        <is>
          <t>Canales y Bajadas de Aguas Lluvia</t>
        </is>
      </c>
      <c r="B123" s="3" t="inlineStr">
        <is>
          <t>2.3. SOLUCIÓN DE TECHUMBRE Y AGUAS LLUVIA</t>
        </is>
      </c>
      <c r="C123" s="3" t="inlineStr">
        <is>
          <t>General</t>
        </is>
      </c>
      <c r="D123" s="3" t="inlineStr">
        <is>
          <t>BAJADA CEMENTADA BLANCO UNIVERSAL 2028869</t>
        </is>
      </c>
      <c r="E123" s="3" t="inlineStr">
        <is>
          <t>AGLL0021</t>
        </is>
      </c>
      <c r="F123" s="3" t="inlineStr">
        <is>
          <t>UN</t>
        </is>
      </c>
      <c r="G123" s="4" t="n">
        <v>1</v>
      </c>
      <c r="H123" s="5" t="n">
        <v>1280.88</v>
      </c>
      <c r="I123" s="6">
        <f>IF(OR(G123="",H123=""),"",G123*H123)</f>
        <v/>
      </c>
    </row>
    <row r="124">
      <c r="A124" s="2" t="inlineStr">
        <is>
          <t>Canales y Bajadas de Aguas Lluvia</t>
        </is>
      </c>
      <c r="B124" s="3" t="inlineStr">
        <is>
          <t>2.3. SOLUCIÓN DE TECHUMBRE Y AGUAS LLUVIA</t>
        </is>
      </c>
      <c r="C124" s="3" t="inlineStr">
        <is>
          <t>General</t>
        </is>
      </c>
      <c r="D124" s="3" t="inlineStr">
        <is>
          <t>CODO PVC P/TUBO BAJADA BLANCO 45° H-H 9053245</t>
        </is>
      </c>
      <c r="E124" s="3" t="inlineStr">
        <is>
          <t>AGLL0029</t>
        </is>
      </c>
      <c r="F124" s="3" t="inlineStr">
        <is>
          <t>UN</t>
        </is>
      </c>
      <c r="G124" s="4" t="n">
        <v>1</v>
      </c>
      <c r="H124" s="5" t="n">
        <v>1926.11</v>
      </c>
      <c r="I124" s="6">
        <f>IF(OR(G124="",H124=""),"",G124*H124)</f>
        <v/>
      </c>
    </row>
    <row r="125">
      <c r="A125" s="2" t="inlineStr">
        <is>
          <t>Canales y Bajadas de Aguas Lluvia</t>
        </is>
      </c>
      <c r="B125" s="3" t="inlineStr">
        <is>
          <t>2.3. SOLUCIÓN DE TECHUMBRE Y AGUAS LLUVIA</t>
        </is>
      </c>
      <c r="C125" s="3" t="inlineStr">
        <is>
          <t>General</t>
        </is>
      </c>
      <c r="D125" s="3" t="inlineStr">
        <is>
          <t>TUBO BAJADA 80 [MM] x 3 [M] P/CANALETA BLANCO 2028228</t>
        </is>
      </c>
      <c r="E125" s="3" t="inlineStr">
        <is>
          <t>AGLL0016</t>
        </is>
      </c>
      <c r="F125" s="3" t="inlineStr">
        <is>
          <t>UN</t>
        </is>
      </c>
      <c r="G125" s="4" t="n">
        <v>2</v>
      </c>
      <c r="H125" s="5" t="n">
        <v>4033.49</v>
      </c>
      <c r="I125" s="6">
        <f>IF(OR(G125="",H125=""),"",G125*H125)</f>
        <v/>
      </c>
    </row>
    <row r="126">
      <c r="A126" s="2" t="inlineStr">
        <is>
          <t>Canales y Bajadas de Aguas Lluvia</t>
        </is>
      </c>
      <c r="B126" s="3" t="inlineStr">
        <is>
          <t>2.3. SOLUCIÓN DE TECHUMBRE Y AGUAS LLUVIA</t>
        </is>
      </c>
      <c r="C126" s="3" t="inlineStr">
        <is>
          <t>General</t>
        </is>
      </c>
      <c r="D126" s="3" t="inlineStr">
        <is>
          <t>CLIP ABRAZADERA TUBO BAJADA 80 [MM] BLANCO</t>
        </is>
      </c>
      <c r="E126" s="3" t="inlineStr">
        <is>
          <t>AGLL0002</t>
        </is>
      </c>
      <c r="F126" s="3" t="inlineStr">
        <is>
          <t>UN</t>
        </is>
      </c>
      <c r="G126" s="4" t="n">
        <v>5</v>
      </c>
      <c r="H126" s="5" t="n">
        <v>472.87</v>
      </c>
      <c r="I126" s="6">
        <f>IF(OR(G126="",H126=""),"",G126*H126)</f>
        <v/>
      </c>
    </row>
    <row r="127">
      <c r="A127" s="2" t="inlineStr">
        <is>
          <t>Canales y Bajadas de Aguas Lluvia</t>
        </is>
      </c>
      <c r="B127" s="3" t="inlineStr">
        <is>
          <t>2.3. SOLUCIÓN DE TECHUMBRE Y AGUAS LLUVIA</t>
        </is>
      </c>
      <c r="C127" s="3" t="inlineStr">
        <is>
          <t>General</t>
        </is>
      </c>
      <c r="D127" s="3" t="inlineStr">
        <is>
          <t>ADHESIVO VINILIT TRADICIONAL 240CC</t>
        </is>
      </c>
      <c r="E127" s="3" t="inlineStr">
        <is>
          <t>ADHE0012</t>
        </is>
      </c>
      <c r="F127" s="3" t="inlineStr">
        <is>
          <t>UN</t>
        </is>
      </c>
      <c r="G127" s="4" t="n">
        <v>0.25</v>
      </c>
      <c r="H127" s="5" t="n">
        <v>2951.82</v>
      </c>
      <c r="I127" s="6">
        <f>IF(OR(G127="",H127=""),"",G127*H127)</f>
        <v/>
      </c>
    </row>
    <row r="128">
      <c r="A128" s="2" t="inlineStr">
        <is>
          <t>Canales y Bajadas de Aguas Lluvia</t>
        </is>
      </c>
      <c r="B128" s="3" t="inlineStr">
        <is>
          <t>2.3. SOLUCIÓN DE TECHUMBRE Y AGUAS LLUVIA</t>
        </is>
      </c>
      <c r="C128" s="3" t="inlineStr">
        <is>
          <t>General</t>
        </is>
      </c>
      <c r="D128" s="3" t="inlineStr">
        <is>
          <t>TOR VOLC/MAD CRS FOSFATADO 6 X 1.1/4</t>
        </is>
      </c>
      <c r="E128" s="3" t="inlineStr">
        <is>
          <t>FIJA0411</t>
        </is>
      </c>
      <c r="F128" s="3" t="inlineStr">
        <is>
          <t>UN</t>
        </is>
      </c>
      <c r="G128" s="4" t="n">
        <v>10</v>
      </c>
      <c r="H128" s="5" t="n">
        <v>7.11</v>
      </c>
      <c r="I128" s="6">
        <f>IF(OR(G128="",H128=""),"",G128*H128)</f>
        <v/>
      </c>
    </row>
    <row r="129">
      <c r="A129" s="2" t="inlineStr">
        <is>
          <t>Canales y Bajadas de Aguas Lluvia</t>
        </is>
      </c>
      <c r="B129" s="3" t="inlineStr">
        <is>
          <t>2.3. SOLUCIÓN DE TECHUMBRE Y AGUAS LLUVIA</t>
        </is>
      </c>
      <c r="C129" s="3" t="inlineStr">
        <is>
          <t>General</t>
        </is>
      </c>
      <c r="D129" s="3" t="inlineStr">
        <is>
          <t>COPLA TUBO BAJADA 80 [MM] BLANCO 2028872</t>
        </is>
      </c>
      <c r="E129" s="3" t="inlineStr">
        <is>
          <t>AGLL0008</t>
        </is>
      </c>
      <c r="F129" s="3" t="inlineStr">
        <is>
          <t>UN</t>
        </is>
      </c>
      <c r="G129" s="4" t="n">
        <v>1</v>
      </c>
      <c r="H129" s="5" t="n">
        <v>1465.65</v>
      </c>
      <c r="I129" s="6">
        <f>IF(OR(G129="",H129=""),"",G129*H129)</f>
        <v/>
      </c>
    </row>
    <row r="130">
      <c r="A130" s="2" t="inlineStr">
        <is>
          <t>Canales y Bajadas de Aguas Lluvia</t>
        </is>
      </c>
      <c r="B130" s="3" t="inlineStr">
        <is>
          <t>2.3. SOLUCIÓN DE TECHUMBRE Y AGUAS LLUVIA</t>
        </is>
      </c>
      <c r="C130" s="3" t="inlineStr">
        <is>
          <t>General</t>
        </is>
      </c>
      <c r="D130" s="3" t="inlineStr">
        <is>
          <t>CANALETA AGUA LLUVIA PRO 110 [MM] x 4 [M] NEGRO</t>
        </is>
      </c>
      <c r="E130" s="3" t="inlineStr">
        <is>
          <t>AGLL0030</t>
        </is>
      </c>
      <c r="F130" s="3" t="inlineStr">
        <is>
          <t>UN</t>
        </is>
      </c>
      <c r="G130" s="4" t="n"/>
      <c r="H130" s="5" t="n">
        <v>9314.42</v>
      </c>
      <c r="I130" s="6">
        <f>IF(OR(G130="",H130=""),"",G130*H130)</f>
        <v/>
      </c>
    </row>
    <row r="131">
      <c r="A131" t="inlineStr"/>
      <c r="B131" t="inlineStr"/>
      <c r="C131" t="inlineStr"/>
      <c r="D131" s="7" t="inlineStr">
        <is>
          <t>Subtotal Canales y Bajadas de Aguas Lluvia</t>
        </is>
      </c>
      <c r="E131" t="inlineStr"/>
      <c r="F131" t="inlineStr"/>
      <c r="G131" t="inlineStr"/>
      <c r="H131" t="inlineStr"/>
      <c r="I131" s="8">
        <f>SUM(I120:I130)</f>
        <v/>
      </c>
    </row>
    <row r="132">
      <c r="A132" s="2" t="inlineStr">
        <is>
          <t>Cubiertas de Largo Continuo</t>
        </is>
      </c>
      <c r="B132" s="3" t="inlineStr">
        <is>
          <t>2.3. SOLUCIÓN DE TECHUMBRE Y AGUAS LLUVIA</t>
        </is>
      </c>
      <c r="C132" s="3" t="inlineStr">
        <is>
          <t>General</t>
        </is>
      </c>
      <c r="D132" s="3" t="inlineStr">
        <is>
          <t>CLIP FIJACION PANEL CN-2</t>
        </is>
      </c>
      <c r="E132" s="3" t="inlineStr">
        <is>
          <t>HOJL0012</t>
        </is>
      </c>
      <c r="F132" s="3" t="inlineStr">
        <is>
          <t>UN</t>
        </is>
      </c>
      <c r="G132" s="4" t="n">
        <v>56</v>
      </c>
      <c r="H132" s="5" t="n">
        <v>161.69</v>
      </c>
      <c r="I132" s="6">
        <f>IF(OR(G132="",H132=""),"",G132*H132)</f>
        <v/>
      </c>
    </row>
    <row r="133">
      <c r="A133" s="2" t="inlineStr">
        <is>
          <t>Cubiertas de Largo Continuo</t>
        </is>
      </c>
      <c r="B133" s="3" t="inlineStr">
        <is>
          <t>2.3. SOLUCIÓN DE TECHUMBRE Y AGUAS LLUVIA</t>
        </is>
      </c>
      <c r="C133" s="3" t="inlineStr">
        <is>
          <t>General</t>
        </is>
      </c>
      <c r="D133" s="3" t="inlineStr">
        <is>
          <t>TORNILLO VOLC. CRS 6 X 2</t>
        </is>
      </c>
      <c r="E133" s="3" t="inlineStr">
        <is>
          <t>FIJA0144</t>
        </is>
      </c>
      <c r="F133" s="3" t="inlineStr">
        <is>
          <t>UN</t>
        </is>
      </c>
      <c r="G133" s="4" t="n">
        <v>112</v>
      </c>
      <c r="H133" s="5" t="n">
        <v>10.21</v>
      </c>
      <c r="I133" s="6">
        <f>IF(OR(G133="",H133=""),"",G133*H133)</f>
        <v/>
      </c>
    </row>
    <row r="134">
      <c r="A134" t="inlineStr"/>
      <c r="B134" t="inlineStr"/>
      <c r="C134" t="inlineStr"/>
      <c r="D134" s="7" t="inlineStr">
        <is>
          <t>Subtotal Cubiertas de Largo Continuo</t>
        </is>
      </c>
      <c r="E134" t="inlineStr"/>
      <c r="F134" t="inlineStr"/>
      <c r="G134" t="inlineStr"/>
      <c r="H134" t="inlineStr"/>
      <c r="I134" s="8">
        <f>SUM(I132:I133)</f>
        <v/>
      </c>
    </row>
    <row r="135">
      <c r="A135" s="2" t="inlineStr">
        <is>
          <t>Forros y Contraforros de Hojalatería</t>
        </is>
      </c>
      <c r="B135" s="3" t="inlineStr">
        <is>
          <t>2.3. SOLUCIÓN DE TECHUMBRE Y AGUAS LLUVIA</t>
        </is>
      </c>
      <c r="C135" s="3" t="inlineStr">
        <is>
          <t>General</t>
        </is>
      </c>
      <c r="D135" s="3" t="inlineStr">
        <is>
          <t>PLANCHA LISA PREPINTADA NEGRA 0.5MM  1,219 x 4,200</t>
        </is>
      </c>
      <c r="E135" s="3" t="inlineStr">
        <is>
          <t>HOJL0009</t>
        </is>
      </c>
      <c r="F135" s="3" t="inlineStr">
        <is>
          <t>UN</t>
        </is>
      </c>
      <c r="G135" s="4" t="n">
        <v>7</v>
      </c>
      <c r="H135" s="5" t="n">
        <v>27470.48</v>
      </c>
      <c r="I135" s="6">
        <f>IF(OR(G135="",H135=""),"",G135*H135)</f>
        <v/>
      </c>
    </row>
    <row r="136">
      <c r="A136" s="2" t="inlineStr">
        <is>
          <t>Forros y Contraforros de Hojalatería</t>
        </is>
      </c>
      <c r="B136" s="3" t="inlineStr">
        <is>
          <t>2.3. SOLUCIÓN DE TECHUMBRE Y AGUAS LLUVIA</t>
        </is>
      </c>
      <c r="C136" s="3" t="inlineStr">
        <is>
          <t>General</t>
        </is>
      </c>
      <c r="D136" s="3" t="inlineStr">
        <is>
          <t>TORNILLO LENTEJA PUNTA FINA 8 - 3/4</t>
        </is>
      </c>
      <c r="E136" s="3" t="inlineStr">
        <is>
          <t>FIJA0383</t>
        </is>
      </c>
      <c r="F136" s="3" t="inlineStr">
        <is>
          <t>UN</t>
        </is>
      </c>
      <c r="G136" s="4" t="n">
        <v>50</v>
      </c>
      <c r="H136" s="5" t="n">
        <v>7.98</v>
      </c>
      <c r="I136" s="6">
        <f>IF(OR(G136="",H136=""),"",G136*H136)</f>
        <v/>
      </c>
    </row>
    <row r="137">
      <c r="A137" s="2" t="inlineStr">
        <is>
          <t>Forros y Contraforros de Hojalatería</t>
        </is>
      </c>
      <c r="B137" s="3" t="inlineStr">
        <is>
          <t>2.3. SOLUCIÓN DE TECHUMBRE Y AGUAS LLUVIA</t>
        </is>
      </c>
      <c r="C137" s="3" t="inlineStr">
        <is>
          <t>General</t>
        </is>
      </c>
      <c r="D137" s="3" t="inlineStr">
        <is>
          <t>TORNILLO VOLC/MAD P/AGUDA CINCADO 6x1. 1/4 in</t>
        </is>
      </c>
      <c r="E137" s="3" t="inlineStr">
        <is>
          <t>FIJA0312</t>
        </is>
      </c>
      <c r="F137" s="3" t="inlineStr">
        <is>
          <t>UN</t>
        </is>
      </c>
      <c r="G137" s="4" t="n">
        <v>45</v>
      </c>
      <c r="H137" s="5" t="n">
        <v>6.74</v>
      </c>
      <c r="I137" s="6">
        <f>IF(OR(G137="",H137=""),"",G137*H137)</f>
        <v/>
      </c>
    </row>
    <row r="138">
      <c r="A138" s="2" t="inlineStr">
        <is>
          <t>Forros y Contraforros de Hojalatería</t>
        </is>
      </c>
      <c r="B138" s="3" t="inlineStr">
        <is>
          <t>2.3. SOLUCIÓN DE TECHUMBRE Y AGUAS LLUVIA</t>
        </is>
      </c>
      <c r="C138" s="3" t="inlineStr">
        <is>
          <t>General</t>
        </is>
      </c>
      <c r="D138" s="3" t="inlineStr">
        <is>
          <t>AUTOPERFORANTE STITCH HEX- 1/4 - 14/7/8</t>
        </is>
      </c>
      <c r="E138" s="3" t="inlineStr">
        <is>
          <t>FIJA0424</t>
        </is>
      </c>
      <c r="F138" s="3" t="inlineStr">
        <is>
          <t>UN</t>
        </is>
      </c>
      <c r="G138" s="4" t="n">
        <v>150</v>
      </c>
      <c r="H138" s="5" t="n">
        <v>47.96</v>
      </c>
      <c r="I138" s="6">
        <f>IF(OR(G138="",H138=""),"",G138*H138)</f>
        <v/>
      </c>
    </row>
    <row r="139">
      <c r="A139" s="2" t="inlineStr">
        <is>
          <t>Forros y Contraforros de Hojalatería</t>
        </is>
      </c>
      <c r="B139" s="3" t="inlineStr">
        <is>
          <t>2.3. SOLUCIÓN DE TECHUMBRE Y AGUAS LLUVIA</t>
        </is>
      </c>
      <c r="C139" s="3" t="inlineStr">
        <is>
          <t>General</t>
        </is>
      </c>
      <c r="D139" s="3" t="inlineStr">
        <is>
          <t>TORNILLO C/HEX APERF ESPAD/LABIO EPDM 10-12X2.1/2</t>
        </is>
      </c>
      <c r="E139" s="3" t="inlineStr">
        <is>
          <t>FIJA0416</t>
        </is>
      </c>
      <c r="F139" s="3" t="inlineStr"/>
      <c r="G139" s="4" t="n">
        <v>150</v>
      </c>
      <c r="H139" s="5" t="n">
        <v>48.73</v>
      </c>
      <c r="I139" s="6">
        <f>IF(OR(G139="",H139=""),"",G139*H139)</f>
        <v/>
      </c>
    </row>
    <row r="140">
      <c r="A140" s="2" t="inlineStr">
        <is>
          <t>Forros y Contraforros de Hojalatería</t>
        </is>
      </c>
      <c r="B140" s="3" t="inlineStr">
        <is>
          <t>2.3. SOLUCIÓN DE TECHUMBRE Y AGUAS LLUVIA</t>
        </is>
      </c>
      <c r="C140" s="3" t="inlineStr">
        <is>
          <t>General</t>
        </is>
      </c>
      <c r="D140" s="3" t="inlineStr">
        <is>
          <t>MALLA MOSQUETERA PLASTICA BLANCA 1,25X30MTS</t>
        </is>
      </c>
      <c r="E140" s="3" t="inlineStr">
        <is>
          <t>VARI0076</t>
        </is>
      </c>
      <c r="F140" s="3" t="inlineStr">
        <is>
          <t>ROLLO</t>
        </is>
      </c>
      <c r="G140" s="4" t="n">
        <v>0.01</v>
      </c>
      <c r="H140" s="5" t="n">
        <v>41042.38</v>
      </c>
      <c r="I140" s="6">
        <f>IF(OR(G140="",H140=""),"",G140*H140)</f>
        <v/>
      </c>
    </row>
    <row r="141">
      <c r="A141" t="inlineStr"/>
      <c r="B141" t="inlineStr"/>
      <c r="C141" t="inlineStr"/>
      <c r="D141" s="7" t="inlineStr">
        <is>
          <t>Subtotal Forros y Contraforros de Hojalatería</t>
        </is>
      </c>
      <c r="E141" t="inlineStr"/>
      <c r="F141" t="inlineStr"/>
      <c r="G141" t="inlineStr"/>
      <c r="H141" t="inlineStr"/>
      <c r="I141" s="8">
        <f>SUM(I135:I140)</f>
        <v/>
      </c>
    </row>
    <row r="142">
      <c r="A142" s="2" t="inlineStr">
        <is>
          <t>Ventanas Americanas con Aletas</t>
        </is>
      </c>
      <c r="B142" s="3" t="inlineStr">
        <is>
          <t>2.4. VENTANAS</t>
        </is>
      </c>
      <c r="C142" s="3" t="inlineStr">
        <is>
          <t>General</t>
        </is>
      </c>
      <c r="D142" s="3" t="inlineStr">
        <is>
          <t>V1 1180X1700 LINEA AMAERICANA DS49</t>
        </is>
      </c>
      <c r="E142" s="3" t="inlineStr">
        <is>
          <t>VENT0156</t>
        </is>
      </c>
      <c r="F142" s="3" t="inlineStr">
        <is>
          <t>UN</t>
        </is>
      </c>
      <c r="G142" s="4" t="n">
        <v>1</v>
      </c>
      <c r="H142" s="5" t="n">
        <v>192230</v>
      </c>
      <c r="I142" s="6">
        <f>IF(OR(G142="",H142=""),"",G142*H142)</f>
        <v/>
      </c>
    </row>
    <row r="143">
      <c r="A143" s="2" t="inlineStr">
        <is>
          <t>Ventanas Americanas con Aletas</t>
        </is>
      </c>
      <c r="B143" s="3" t="inlineStr">
        <is>
          <t>2.4. VENTANAS</t>
        </is>
      </c>
      <c r="C143" s="3" t="inlineStr">
        <is>
          <t>General</t>
        </is>
      </c>
      <c r="D143" s="3" t="inlineStr">
        <is>
          <t>V2 550X900 LINEA AMAERICANA DS49</t>
        </is>
      </c>
      <c r="E143" s="3" t="inlineStr">
        <is>
          <t>VENT0157</t>
        </is>
      </c>
      <c r="F143" s="3" t="inlineStr">
        <is>
          <t>UN</t>
        </is>
      </c>
      <c r="G143" s="4" t="n">
        <v>1</v>
      </c>
      <c r="H143" s="5" t="n">
        <v>38524</v>
      </c>
      <c r="I143" s="6">
        <f>IF(OR(G143="",H143=""),"",G143*H143)</f>
        <v/>
      </c>
    </row>
    <row r="144">
      <c r="A144" s="2" t="inlineStr">
        <is>
          <t>Ventanas Americanas con Aletas</t>
        </is>
      </c>
      <c r="B144" s="3" t="inlineStr">
        <is>
          <t>2.4. VENTANAS</t>
        </is>
      </c>
      <c r="C144" s="3" t="inlineStr">
        <is>
          <t>General</t>
        </is>
      </c>
      <c r="D144" s="3" t="inlineStr">
        <is>
          <t>V2 550X900 BAÑO LINEA AMAERICANA DS49</t>
        </is>
      </c>
      <c r="E144" s="3" t="inlineStr">
        <is>
          <t>VENT0158</t>
        </is>
      </c>
      <c r="F144" s="3" t="inlineStr">
        <is>
          <t>UN</t>
        </is>
      </c>
      <c r="G144" s="4" t="n">
        <v>1</v>
      </c>
      <c r="H144" s="5" t="n">
        <v>35372</v>
      </c>
      <c r="I144" s="6">
        <f>IF(OR(G144="",H144=""),"",G144*H144)</f>
        <v/>
      </c>
    </row>
    <row r="145">
      <c r="A145" s="2" t="inlineStr">
        <is>
          <t>Ventanas Americanas con Aletas</t>
        </is>
      </c>
      <c r="B145" s="3" t="inlineStr">
        <is>
          <t>2.4. VENTANAS</t>
        </is>
      </c>
      <c r="C145" s="3" t="inlineStr">
        <is>
          <t>General</t>
        </is>
      </c>
      <c r="D145" s="3" t="inlineStr">
        <is>
          <t>V3 900X1300 LINEA AMAERICANA DS49</t>
        </is>
      </c>
      <c r="E145" s="3" t="inlineStr">
        <is>
          <t>VENT0159</t>
        </is>
      </c>
      <c r="F145" s="3" t="inlineStr">
        <is>
          <t>UN</t>
        </is>
      </c>
      <c r="G145" s="4" t="n">
        <v>1</v>
      </c>
      <c r="H145" s="5" t="n">
        <v>71843</v>
      </c>
      <c r="I145" s="6">
        <f>IF(OR(G145="",H145=""),"",G145*H145)</f>
        <v/>
      </c>
    </row>
    <row r="146">
      <c r="A146" s="2" t="inlineStr">
        <is>
          <t>Ventanas Americanas con Aletas</t>
        </is>
      </c>
      <c r="B146" s="3" t="inlineStr">
        <is>
          <t>2.4. VENTANAS</t>
        </is>
      </c>
      <c r="C146" s="3" t="inlineStr">
        <is>
          <t>General</t>
        </is>
      </c>
      <c r="D146" s="3" t="inlineStr">
        <is>
          <t>V4 1180X1300 LINEA AMAERICANA DS49</t>
        </is>
      </c>
      <c r="E146" s="3" t="inlineStr">
        <is>
          <t>VENT0160</t>
        </is>
      </c>
      <c r="F146" s="3" t="inlineStr">
        <is>
          <t>UN</t>
        </is>
      </c>
      <c r="G146" s="4" t="n">
        <v>2</v>
      </c>
      <c r="H146" s="5" t="n">
        <v>87527</v>
      </c>
      <c r="I146" s="6">
        <f>IF(OR(G146="",H146=""),"",G146*H146)</f>
        <v/>
      </c>
    </row>
    <row r="147">
      <c r="A147" t="inlineStr"/>
      <c r="B147" t="inlineStr"/>
      <c r="C147" t="inlineStr"/>
      <c r="D147" s="7" t="inlineStr">
        <is>
          <t>Subtotal Ventanas Americanas con Aletas</t>
        </is>
      </c>
      <c r="E147" t="inlineStr"/>
      <c r="F147" t="inlineStr"/>
      <c r="G147" t="inlineStr"/>
      <c r="H147" t="inlineStr"/>
      <c r="I147" s="8">
        <f>SUM(I142:I146)</f>
        <v/>
      </c>
    </row>
    <row r="148">
      <c r="A148" s="2" t="inlineStr">
        <is>
          <t>Puerta Fibra de Vidrio</t>
        </is>
      </c>
      <c r="B148" s="3" t="inlineStr">
        <is>
          <t>2.5. PUERTAS EXTERIORES</t>
        </is>
      </c>
      <c r="C148" s="3" t="inlineStr">
        <is>
          <t>Normal</t>
        </is>
      </c>
      <c r="D148" s="3" t="inlineStr">
        <is>
          <t>PUERTA FIBRA 850X2000 COPAGUE MARCO PVC BLANCO DERECHA</t>
        </is>
      </c>
      <c r="E148" s="3" t="inlineStr">
        <is>
          <t>PUER0138</t>
        </is>
      </c>
      <c r="F148" s="3" t="inlineStr">
        <is>
          <t>UN</t>
        </is>
      </c>
      <c r="G148" s="4" t="n">
        <v>1</v>
      </c>
      <c r="H148" s="5" t="n">
        <v>0</v>
      </c>
      <c r="I148" s="6">
        <f>IF(OR(G148="",H148=""),"",G148*H148)</f>
        <v/>
      </c>
    </row>
    <row r="149">
      <c r="A149" s="2" t="inlineStr">
        <is>
          <t>Puerta Fibra de Vidrio</t>
        </is>
      </c>
      <c r="B149" s="3" t="inlineStr">
        <is>
          <t>2.5. PUERTAS EXTERIORES</t>
        </is>
      </c>
      <c r="C149" s="3" t="inlineStr">
        <is>
          <t>Normal Ampliada</t>
        </is>
      </c>
      <c r="D149" s="3" t="inlineStr">
        <is>
          <t>PUERTA FIBRA 850X2000 COPAGUE MARCO PVC BLANCO DERECHA</t>
        </is>
      </c>
      <c r="E149" s="3" t="inlineStr">
        <is>
          <t>PUER0138</t>
        </is>
      </c>
      <c r="F149" s="3" t="inlineStr">
        <is>
          <t>UN</t>
        </is>
      </c>
      <c r="G149" s="4" t="n">
        <v>1</v>
      </c>
      <c r="H149" s="5" t="n">
        <v>0</v>
      </c>
      <c r="I149" s="6">
        <f>IF(OR(G149="",H149=""),"",G149*H149)</f>
        <v/>
      </c>
    </row>
    <row r="150">
      <c r="A150" s="2" t="inlineStr">
        <is>
          <t>Puerta Fibra de Vidrio</t>
        </is>
      </c>
      <c r="B150" s="3" t="inlineStr">
        <is>
          <t>2.5. PUERTAS EXTERIORES</t>
        </is>
      </c>
      <c r="C150" s="3" t="inlineStr">
        <is>
          <t>Espejada</t>
        </is>
      </c>
      <c r="D150" s="3" t="inlineStr">
        <is>
          <t>PUERTA FIBRA 850X2000 COPAGUE MARCO PVC BLANCO IZQUIERDA</t>
        </is>
      </c>
      <c r="E150" s="3" t="inlineStr">
        <is>
          <t>PUER0139</t>
        </is>
      </c>
      <c r="F150" s="3" t="inlineStr">
        <is>
          <t>UN</t>
        </is>
      </c>
      <c r="G150" s="4" t="n">
        <v>1</v>
      </c>
      <c r="H150" s="5" t="n">
        <v>166272</v>
      </c>
      <c r="I150" s="6">
        <f>IF(OR(G150="",H150=""),"",G150*H150)</f>
        <v/>
      </c>
    </row>
    <row r="151">
      <c r="A151" s="2" t="inlineStr">
        <is>
          <t>Puerta Fibra de Vidrio</t>
        </is>
      </c>
      <c r="B151" s="3" t="inlineStr">
        <is>
          <t>2.5. PUERTAS EXTERIORES</t>
        </is>
      </c>
      <c r="C151" s="3" t="inlineStr">
        <is>
          <t>Espejada Ampliada</t>
        </is>
      </c>
      <c r="D151" s="3" t="inlineStr">
        <is>
          <t>PUERTA FIBRA 850X2000 COPAGUE MARCO PVC BLANCO IZQUIERDA</t>
        </is>
      </c>
      <c r="E151" s="3" t="inlineStr">
        <is>
          <t>PUER0139</t>
        </is>
      </c>
      <c r="F151" s="3" t="inlineStr">
        <is>
          <t>UN</t>
        </is>
      </c>
      <c r="G151" s="4" t="n">
        <v>1</v>
      </c>
      <c r="H151" s="5" t="n">
        <v>166272</v>
      </c>
      <c r="I151" s="6">
        <f>IF(OR(G151="",H151=""),"",G151*H151)</f>
        <v/>
      </c>
    </row>
    <row r="152">
      <c r="A152" s="2" t="inlineStr">
        <is>
          <t>Puerta Fibra de Vidrio</t>
        </is>
      </c>
      <c r="B152" s="3" t="inlineStr">
        <is>
          <t>2.5. PUERTAS EXTERIORES</t>
        </is>
      </c>
      <c r="C152" s="3" t="inlineStr">
        <is>
          <t>General</t>
        </is>
      </c>
      <c r="D152" s="3" t="inlineStr">
        <is>
          <t>CERRADURA MANILLA EMBUTIDA SCANAVINI 1180 ACCESO</t>
        </is>
      </c>
      <c r="E152" s="3" t="inlineStr">
        <is>
          <t>QCLL0098</t>
        </is>
      </c>
      <c r="F152" s="3" t="inlineStr">
        <is>
          <t>UN</t>
        </is>
      </c>
      <c r="G152" s="4" t="n">
        <v>1</v>
      </c>
      <c r="H152" s="5" t="n">
        <v>27065.56</v>
      </c>
      <c r="I152" s="6">
        <f>IF(OR(G152="",H152=""),"",G152*H152)</f>
        <v/>
      </c>
    </row>
    <row r="153">
      <c r="A153" s="2" t="inlineStr">
        <is>
          <t>Puerta Fibra de Vidrio</t>
        </is>
      </c>
      <c r="B153" s="3" t="inlineStr">
        <is>
          <t>2.5. PUERTAS EXTERIORES</t>
        </is>
      </c>
      <c r="C153" s="3" t="inlineStr">
        <is>
          <t>General</t>
        </is>
      </c>
      <c r="D153" s="3" t="inlineStr">
        <is>
          <t>TOPE PUERTA BASICO 30mmNEGRO BOLSA</t>
        </is>
      </c>
      <c r="E153" s="3" t="inlineStr">
        <is>
          <t>QCLL0074</t>
        </is>
      </c>
      <c r="F153" s="3" t="inlineStr">
        <is>
          <t>UN</t>
        </is>
      </c>
      <c r="G153" s="4" t="n">
        <v>1.5</v>
      </c>
      <c r="H153" s="5" t="n">
        <v>247.16</v>
      </c>
      <c r="I153" s="6">
        <f>IF(OR(G153="",H153=""),"",G153*H153)</f>
        <v/>
      </c>
    </row>
    <row r="154">
      <c r="A154" s="2" t="inlineStr">
        <is>
          <t>Puerta Fibra de Vidrio</t>
        </is>
      </c>
      <c r="B154" s="3" t="inlineStr">
        <is>
          <t>2.5. PUERTAS EXTERIORES</t>
        </is>
      </c>
      <c r="C154" s="3" t="inlineStr">
        <is>
          <t>General</t>
        </is>
      </c>
      <c r="D154" s="3" t="inlineStr">
        <is>
          <t>PERFIL L 40MM X 40MM X 3M BLANCO</t>
        </is>
      </c>
      <c r="E154" s="3" t="inlineStr">
        <is>
          <t>ESQI0037</t>
        </is>
      </c>
      <c r="F154" s="3" t="inlineStr">
        <is>
          <t>UN</t>
        </is>
      </c>
      <c r="G154" s="4" t="n">
        <v>2.5</v>
      </c>
      <c r="H154" s="5" t="n">
        <v>6478.45</v>
      </c>
      <c r="I154" s="6">
        <f>IF(OR(G154="",H154=""),"",G154*H154)</f>
        <v/>
      </c>
    </row>
    <row r="155">
      <c r="A155" t="inlineStr"/>
      <c r="B155" t="inlineStr"/>
      <c r="C155" t="inlineStr"/>
      <c r="D155" s="7" t="inlineStr">
        <is>
          <t>Subtotal Puerta Fibra de Vidrio</t>
        </is>
      </c>
      <c r="E155" t="inlineStr"/>
      <c r="F155" t="inlineStr"/>
      <c r="G155" t="inlineStr"/>
      <c r="H155" t="inlineStr"/>
      <c r="I155" s="8">
        <f>SUM(I148:I154)</f>
        <v/>
      </c>
    </row>
    <row r="156">
      <c r="A156" s="2" t="inlineStr">
        <is>
          <t>Puerta 02 Cocina - PVC - Sin Ventana</t>
        </is>
      </c>
      <c r="B156" s="3" t="inlineStr">
        <is>
          <t>2.5. PUERTAS EXTERIORES</t>
        </is>
      </c>
      <c r="C156" s="3" t="inlineStr">
        <is>
          <t>Normal</t>
        </is>
      </c>
      <c r="D156" s="3" t="inlineStr">
        <is>
          <t>PUERTA FIBRA 800X2000 COPAGUE MARCO PVC BLANCO DERECHA</t>
        </is>
      </c>
      <c r="E156" s="3" t="inlineStr">
        <is>
          <t>PUER0140</t>
        </is>
      </c>
      <c r="F156" s="3" t="inlineStr">
        <is>
          <t>UN</t>
        </is>
      </c>
      <c r="G156" s="4" t="n">
        <v>1</v>
      </c>
      <c r="H156" s="5" t="n">
        <v>0</v>
      </c>
      <c r="I156" s="6">
        <f>IF(OR(G156="",H156=""),"",G156*H156)</f>
        <v/>
      </c>
    </row>
    <row r="157">
      <c r="A157" s="2" t="inlineStr">
        <is>
          <t>Puerta 02 Cocina - PVC - Sin Ventana</t>
        </is>
      </c>
      <c r="B157" s="3" t="inlineStr">
        <is>
          <t>2.5. PUERTAS EXTERIORES</t>
        </is>
      </c>
      <c r="C157" s="3" t="inlineStr">
        <is>
          <t>Espejada</t>
        </is>
      </c>
      <c r="D157" s="3" t="inlineStr">
        <is>
          <t>PUERTA FIBRA 800X2000 COPAGUE MARCO PVC BLANCO IZQUIERDA</t>
        </is>
      </c>
      <c r="E157" s="3" t="inlineStr">
        <is>
          <t>PUER0141</t>
        </is>
      </c>
      <c r="F157" s="3" t="inlineStr">
        <is>
          <t>UN</t>
        </is>
      </c>
      <c r="G157" s="4" t="n">
        <v>1</v>
      </c>
      <c r="H157" s="5" t="n">
        <v>175572</v>
      </c>
      <c r="I157" s="6">
        <f>IF(OR(G157="",H157=""),"",G157*H157)</f>
        <v/>
      </c>
    </row>
    <row r="158">
      <c r="A158" s="2" t="inlineStr">
        <is>
          <t>Puerta 02 Cocina - PVC - Sin Ventana</t>
        </is>
      </c>
      <c r="B158" s="3" t="inlineStr">
        <is>
          <t>2.5. PUERTAS EXTERIORES</t>
        </is>
      </c>
      <c r="C158" s="3" t="inlineStr">
        <is>
          <t>General</t>
        </is>
      </c>
      <c r="D158" s="3" t="inlineStr">
        <is>
          <t>CERRADURA MANILLA EMBUTIR SCANAVINI 1184 COCINA</t>
        </is>
      </c>
      <c r="E158" s="3" t="inlineStr">
        <is>
          <t>QCLL0099</t>
        </is>
      </c>
      <c r="F158" s="3" t="inlineStr">
        <is>
          <t>UN</t>
        </is>
      </c>
      <c r="G158" s="4" t="n">
        <v>1</v>
      </c>
      <c r="H158" s="5" t="n">
        <v>31807.66</v>
      </c>
      <c r="I158" s="6">
        <f>IF(OR(G158="",H158=""),"",G158*H158)</f>
        <v/>
      </c>
    </row>
    <row r="159">
      <c r="A159" s="2" t="inlineStr">
        <is>
          <t>Puerta 02 Cocina - PVC - Sin Ventana</t>
        </is>
      </c>
      <c r="B159" s="3" t="inlineStr">
        <is>
          <t>2.5. PUERTAS EXTERIORES</t>
        </is>
      </c>
      <c r="C159" s="3" t="inlineStr">
        <is>
          <t>General</t>
        </is>
      </c>
      <c r="D159" s="3" t="inlineStr">
        <is>
          <t>CELOSIA BEAGLE 35 X 13CM BLANCO</t>
        </is>
      </c>
      <c r="E159" s="3" t="inlineStr">
        <is>
          <t>VETI0044</t>
        </is>
      </c>
      <c r="F159" s="3" t="inlineStr">
        <is>
          <t>UN</t>
        </is>
      </c>
      <c r="G159" s="4" t="n">
        <v>1</v>
      </c>
      <c r="H159" s="5" t="n">
        <v>1822</v>
      </c>
      <c r="I159" s="6">
        <f>IF(OR(G159="",H159=""),"",G159*H159)</f>
        <v/>
      </c>
    </row>
    <row r="160">
      <c r="A160" s="2" t="inlineStr">
        <is>
          <t>Puerta 02 Cocina - PVC - Sin Ventana</t>
        </is>
      </c>
      <c r="B160" s="3" t="inlineStr">
        <is>
          <t>2.5. PUERTAS EXTERIORES</t>
        </is>
      </c>
      <c r="C160" s="3" t="inlineStr">
        <is>
          <t>General</t>
        </is>
      </c>
      <c r="D160" s="3" t="inlineStr">
        <is>
          <t>TOPE PUERTA BASICO 30mmNEGRO BOLSA</t>
        </is>
      </c>
      <c r="E160" s="3" t="inlineStr">
        <is>
          <t>QCLL0074</t>
        </is>
      </c>
      <c r="F160" s="3" t="inlineStr">
        <is>
          <t>UN</t>
        </is>
      </c>
      <c r="G160" s="4" t="n">
        <v>1.5</v>
      </c>
      <c r="H160" s="5" t="n">
        <v>247.16</v>
      </c>
      <c r="I160" s="6">
        <f>IF(OR(G160="",H160=""),"",G160*H160)</f>
        <v/>
      </c>
    </row>
    <row r="161">
      <c r="A161" s="2" t="inlineStr">
        <is>
          <t>Puerta 02 Cocina - PVC - Sin Ventana</t>
        </is>
      </c>
      <c r="B161" s="3" t="inlineStr">
        <is>
          <t>2.5. PUERTAS EXTERIORES</t>
        </is>
      </c>
      <c r="C161" s="3" t="inlineStr">
        <is>
          <t>General</t>
        </is>
      </c>
      <c r="D161" s="3" t="inlineStr">
        <is>
          <t>PERFIL L 40MM X 40MM X 3M BLANCO</t>
        </is>
      </c>
      <c r="E161" s="3" t="inlineStr">
        <is>
          <t>ESQI0037</t>
        </is>
      </c>
      <c r="F161" s="3" t="inlineStr">
        <is>
          <t>UN</t>
        </is>
      </c>
      <c r="G161" s="4" t="n">
        <v>2.5</v>
      </c>
      <c r="H161" s="5" t="n">
        <v>6478.45</v>
      </c>
      <c r="I161" s="6">
        <f>IF(OR(G161="",H161=""),"",G161*H161)</f>
        <v/>
      </c>
    </row>
    <row r="162">
      <c r="A162" t="inlineStr"/>
      <c r="B162" t="inlineStr"/>
      <c r="C162" t="inlineStr"/>
      <c r="D162" s="7" t="inlineStr">
        <is>
          <t>Subtotal Puerta 02 Cocina - PVC - Sin Ventana</t>
        </is>
      </c>
      <c r="E162" t="inlineStr"/>
      <c r="F162" t="inlineStr"/>
      <c r="G162" t="inlineStr"/>
      <c r="H162" t="inlineStr"/>
      <c r="I162" s="8">
        <f>SUM(I156:I161)</f>
        <v/>
      </c>
    </row>
    <row r="163">
      <c r="A163" s="2" t="inlineStr">
        <is>
          <t>Puerta Interior Baño / Cocina</t>
        </is>
      </c>
      <c r="B163" s="3" t="inlineStr">
        <is>
          <t>2.6. PUERTAS INTERIORES</t>
        </is>
      </c>
      <c r="C163" s="3" t="inlineStr">
        <is>
          <t>Normal</t>
        </is>
      </c>
      <c r="D163" s="3" t="inlineStr">
        <is>
          <t>PUERTA TERMINADA 750X2000 CELOSIA MARCO 30X115 DERECHA</t>
        </is>
      </c>
      <c r="E163" s="3" t="inlineStr">
        <is>
          <t>PUER0147</t>
        </is>
      </c>
      <c r="F163" s="3" t="inlineStr">
        <is>
          <t>UN</t>
        </is>
      </c>
      <c r="G163" s="4" t="n">
        <v>1</v>
      </c>
      <c r="H163" s="5" t="n">
        <v>87786.32000000001</v>
      </c>
      <c r="I163" s="6">
        <f>IF(OR(G163="",H163=""),"",G163*H163)</f>
        <v/>
      </c>
    </row>
    <row r="164">
      <c r="A164" s="2" t="inlineStr">
        <is>
          <t>Puerta Interior Baño / Cocina</t>
        </is>
      </c>
      <c r="B164" s="3" t="inlineStr">
        <is>
          <t>2.6. PUERTAS INTERIORES</t>
        </is>
      </c>
      <c r="C164" s="3" t="inlineStr">
        <is>
          <t>Normal Ampliada</t>
        </is>
      </c>
      <c r="D164" s="3" t="inlineStr">
        <is>
          <t>PUERTA TERMINADA 750X2000 CELOSIA MARCO 30X115 DERECHA</t>
        </is>
      </c>
      <c r="E164" s="3" t="inlineStr">
        <is>
          <t>PUER0147</t>
        </is>
      </c>
      <c r="F164" s="3" t="inlineStr">
        <is>
          <t>UN</t>
        </is>
      </c>
      <c r="G164" s="4" t="n">
        <v>1</v>
      </c>
      <c r="H164" s="5" t="n">
        <v>87786.32000000001</v>
      </c>
      <c r="I164" s="6">
        <f>IF(OR(G164="",H164=""),"",G164*H164)</f>
        <v/>
      </c>
    </row>
    <row r="165">
      <c r="A165" s="2" t="inlineStr">
        <is>
          <t>Puerta Interior Baño / Cocina</t>
        </is>
      </c>
      <c r="B165" s="3" t="inlineStr">
        <is>
          <t>2.6. PUERTAS INTERIORES</t>
        </is>
      </c>
      <c r="C165" s="3" t="inlineStr">
        <is>
          <t>Espejada</t>
        </is>
      </c>
      <c r="D165" s="3" t="inlineStr">
        <is>
          <t>PUERTA TERMINADA 750X2000 CELOSIA MARCO 30X115 IZQUIERDA</t>
        </is>
      </c>
      <c r="E165" s="3" t="inlineStr">
        <is>
          <t>PUER0146</t>
        </is>
      </c>
      <c r="F165" s="3" t="inlineStr">
        <is>
          <t>UN</t>
        </is>
      </c>
      <c r="G165" s="4" t="n">
        <v>1</v>
      </c>
      <c r="H165" s="5" t="n">
        <v>87797</v>
      </c>
      <c r="I165" s="6">
        <f>IF(OR(G165="",H165=""),"",G165*H165)</f>
        <v/>
      </c>
    </row>
    <row r="166">
      <c r="A166" s="2" t="inlineStr">
        <is>
          <t>Puerta Interior Baño / Cocina</t>
        </is>
      </c>
      <c r="B166" s="3" t="inlineStr">
        <is>
          <t>2.6. PUERTAS INTERIORES</t>
        </is>
      </c>
      <c r="C166" s="3" t="inlineStr">
        <is>
          <t>Espejada Ampliada</t>
        </is>
      </c>
      <c r="D166" s="3" t="inlineStr">
        <is>
          <t>PUERTA TERMINADA 750X2000 CELOSIA MARCO 30X115 IZQUIERDA</t>
        </is>
      </c>
      <c r="E166" s="3" t="inlineStr">
        <is>
          <t>PUER0146</t>
        </is>
      </c>
      <c r="F166" s="3" t="inlineStr">
        <is>
          <t>UN</t>
        </is>
      </c>
      <c r="G166" s="4" t="n">
        <v>1</v>
      </c>
      <c r="H166" s="5" t="n">
        <v>87797</v>
      </c>
      <c r="I166" s="6">
        <f>IF(OR(G166="",H166=""),"",G166*H166)</f>
        <v/>
      </c>
    </row>
    <row r="167">
      <c r="A167" s="2" t="inlineStr">
        <is>
          <t>Puerta Interior Baño / Cocina</t>
        </is>
      </c>
      <c r="B167" s="3" t="inlineStr">
        <is>
          <t>2.6. PUERTAS INTERIORES</t>
        </is>
      </c>
      <c r="C167" s="3" t="inlineStr">
        <is>
          <t>General</t>
        </is>
      </c>
      <c r="D167" s="3" t="inlineStr">
        <is>
          <t>TOPE PUERTA BASICO 30mmNEGRO BOLSA</t>
        </is>
      </c>
      <c r="E167" s="3" t="inlineStr">
        <is>
          <t>QCLL0074</t>
        </is>
      </c>
      <c r="F167" s="3" t="inlineStr">
        <is>
          <t>UN</t>
        </is>
      </c>
      <c r="G167" s="4" t="n">
        <v>1.5</v>
      </c>
      <c r="H167" s="5" t="n">
        <v>247.16</v>
      </c>
      <c r="I167" s="6">
        <f>IF(OR(G167="",H167=""),"",G167*H167)</f>
        <v/>
      </c>
    </row>
    <row r="168">
      <c r="A168" s="2" t="inlineStr">
        <is>
          <t>Puerta Interior Baño / Cocina</t>
        </is>
      </c>
      <c r="B168" s="3" t="inlineStr">
        <is>
          <t>2.6. PUERTAS INTERIORES</t>
        </is>
      </c>
      <c r="C168" s="3" t="inlineStr">
        <is>
          <t>General</t>
        </is>
      </c>
      <c r="D168" s="3" t="inlineStr">
        <is>
          <t>CUBREJUNTA TRANSICION MANDALA GRECO PVC</t>
        </is>
      </c>
      <c r="E168" s="3" t="inlineStr">
        <is>
          <t>MODU0043</t>
        </is>
      </c>
      <c r="F168" s="3" t="inlineStr">
        <is>
          <t>UN</t>
        </is>
      </c>
      <c r="G168" s="4" t="n">
        <v>0.33</v>
      </c>
      <c r="H168" s="5" t="n">
        <v>9447.959999999999</v>
      </c>
      <c r="I168" s="6">
        <f>IF(OR(G168="",H168=""),"",G168*H168)</f>
        <v/>
      </c>
    </row>
    <row r="169">
      <c r="A169" s="2" t="inlineStr">
        <is>
          <t>Puerta Interior Baño / Cocina</t>
        </is>
      </c>
      <c r="B169" s="3" t="inlineStr">
        <is>
          <t>2.6. PUERTAS INTERIORES</t>
        </is>
      </c>
      <c r="C169" s="3" t="inlineStr">
        <is>
          <t>General</t>
        </is>
      </c>
      <c r="D169" s="3" t="inlineStr">
        <is>
          <t>CERRADURA MANILLA EMBUTIDA SCANAVINI 1054 - AN</t>
        </is>
      </c>
      <c r="E169" s="3" t="inlineStr">
        <is>
          <t>QCLL0111</t>
        </is>
      </c>
      <c r="F169" s="3" t="inlineStr">
        <is>
          <t>UN</t>
        </is>
      </c>
      <c r="G169" s="4" t="n">
        <v>1</v>
      </c>
      <c r="H169" s="5" t="n">
        <v>20882</v>
      </c>
      <c r="I169" s="6">
        <f>IF(OR(G169="",H169=""),"",G169*H169)</f>
        <v/>
      </c>
    </row>
    <row r="170">
      <c r="A170" s="2" t="inlineStr">
        <is>
          <t>Puerta Interior Baño / Cocina</t>
        </is>
      </c>
      <c r="B170" s="3" t="inlineStr">
        <is>
          <t>2.6. PUERTAS INTERIORES</t>
        </is>
      </c>
      <c r="C170" s="3" t="inlineStr">
        <is>
          <t>General</t>
        </is>
      </c>
      <c r="D170" s="3" t="inlineStr">
        <is>
          <t>CELOSIA BEAGLE 35 X 13CM BLANCO</t>
        </is>
      </c>
      <c r="E170" s="3" t="inlineStr">
        <is>
          <t>VETI0044</t>
        </is>
      </c>
      <c r="F170" s="3" t="inlineStr">
        <is>
          <t>UN</t>
        </is>
      </c>
      <c r="G170" s="4" t="n">
        <v>1</v>
      </c>
      <c r="H170" s="5" t="n">
        <v>1822</v>
      </c>
      <c r="I170" s="6">
        <f>IF(OR(G170="",H170=""),"",G170*H170)</f>
        <v/>
      </c>
    </row>
    <row r="171">
      <c r="A171" s="2" t="inlineStr">
        <is>
          <t>Puerta Interior Baño / Cocina</t>
        </is>
      </c>
      <c r="B171" s="3" t="inlineStr">
        <is>
          <t>2.6. PUERTAS INTERIORES</t>
        </is>
      </c>
      <c r="C171" s="3" t="inlineStr">
        <is>
          <t>General</t>
        </is>
      </c>
      <c r="D171" s="3" t="inlineStr">
        <is>
          <t>ADHESIVO DE CONTACTO AGOREX 60</t>
        </is>
      </c>
      <c r="E171" s="3" t="inlineStr">
        <is>
          <t>ADHE0061</t>
        </is>
      </c>
      <c r="F171" s="3" t="inlineStr">
        <is>
          <t>UN</t>
        </is>
      </c>
      <c r="G171" s="4" t="n">
        <v>0.03</v>
      </c>
      <c r="H171" s="5" t="n">
        <v>37093.75</v>
      </c>
      <c r="I171" s="6">
        <f>IF(OR(G171="",H171=""),"",G171*H171)</f>
        <v/>
      </c>
    </row>
    <row r="172">
      <c r="A172" t="inlineStr"/>
      <c r="B172" t="inlineStr"/>
      <c r="C172" t="inlineStr"/>
      <c r="D172" s="7" t="inlineStr">
        <is>
          <t>Subtotal Puerta Interior Baño / Cocina</t>
        </is>
      </c>
      <c r="E172" t="inlineStr"/>
      <c r="F172" t="inlineStr"/>
      <c r="G172" t="inlineStr"/>
      <c r="H172" t="inlineStr"/>
      <c r="I172" s="8">
        <f>SUM(I163:I171)</f>
        <v/>
      </c>
    </row>
    <row r="173">
      <c r="A173" s="2" t="inlineStr">
        <is>
          <t>Puerta Interior Dormitorio</t>
        </is>
      </c>
      <c r="B173" s="3" t="inlineStr">
        <is>
          <t>2.6. PUERTAS INTERIORES</t>
        </is>
      </c>
      <c r="C173" s="3" t="inlineStr">
        <is>
          <t>General</t>
        </is>
      </c>
      <c r="D173" s="3" t="inlineStr">
        <is>
          <t>PUERTA TERMINADA 650X2000, MARCO 30X115X6000 DERECHA</t>
        </is>
      </c>
      <c r="E173" s="3" t="inlineStr">
        <is>
          <t>PUER0151</t>
        </is>
      </c>
      <c r="F173" s="3" t="inlineStr">
        <is>
          <t>UN</t>
        </is>
      </c>
      <c r="G173" s="4" t="n"/>
      <c r="H173" s="5" t="n">
        <v>0</v>
      </c>
      <c r="I173" s="6">
        <f>IF(OR(G173="",H173=""),"",G173*H173)</f>
        <v/>
      </c>
    </row>
    <row r="174">
      <c r="A174" s="2" t="inlineStr">
        <is>
          <t>Puerta Interior Dormitorio</t>
        </is>
      </c>
      <c r="B174" s="3" t="inlineStr">
        <is>
          <t>2.6. PUERTAS INTERIORES</t>
        </is>
      </c>
      <c r="C174" s="3" t="inlineStr">
        <is>
          <t>General</t>
        </is>
      </c>
      <c r="D174" s="3" t="inlineStr">
        <is>
          <t>PUERTA TERMINADA 650X2000, MARCO 30X115X6000 IZQUIERDA</t>
        </is>
      </c>
      <c r="E174" s="3" t="inlineStr">
        <is>
          <t>PUER0152</t>
        </is>
      </c>
      <c r="F174" s="3" t="inlineStr">
        <is>
          <t>UN</t>
        </is>
      </c>
      <c r="G174" s="4" t="n"/>
      <c r="H174" s="5" t="n">
        <v>0</v>
      </c>
      <c r="I174" s="6">
        <f>IF(OR(G174="",H174=""),"",G174*H174)</f>
        <v/>
      </c>
    </row>
    <row r="175">
      <c r="A175" s="2" t="inlineStr">
        <is>
          <t>Puerta Interior Dormitorio</t>
        </is>
      </c>
      <c r="B175" s="3" t="inlineStr">
        <is>
          <t>2.6. PUERTAS INTERIORES</t>
        </is>
      </c>
      <c r="C175" s="3" t="inlineStr">
        <is>
          <t>Normal</t>
        </is>
      </c>
      <c r="D175" s="3" t="inlineStr">
        <is>
          <t>PUERTA TERMINADA 750X2000, MARCO 30X115X6000 DERECHA</t>
        </is>
      </c>
      <c r="E175" s="3" t="inlineStr">
        <is>
          <t>PUER0144</t>
        </is>
      </c>
      <c r="F175" s="3" t="inlineStr">
        <is>
          <t>UN</t>
        </is>
      </c>
      <c r="G175" s="4" t="n">
        <v>2</v>
      </c>
      <c r="H175" s="5" t="n">
        <v>82121.42</v>
      </c>
      <c r="I175" s="6">
        <f>IF(OR(G175="",H175=""),"",G175*H175)</f>
        <v/>
      </c>
    </row>
    <row r="176">
      <c r="A176" s="2" t="inlineStr">
        <is>
          <t>Puerta Interior Dormitorio</t>
        </is>
      </c>
      <c r="B176" s="3" t="inlineStr">
        <is>
          <t>2.6. PUERTAS INTERIORES</t>
        </is>
      </c>
      <c r="C176" s="3" t="inlineStr">
        <is>
          <t>Espejada</t>
        </is>
      </c>
      <c r="D176" s="3" t="inlineStr">
        <is>
          <t>PUERTA TERMINADA 750X2000, MARCO 30X115X6000 IZQUIERDA</t>
        </is>
      </c>
      <c r="E176" s="3" t="inlineStr">
        <is>
          <t>PUER0145</t>
        </is>
      </c>
      <c r="F176" s="3" t="inlineStr">
        <is>
          <t>UN</t>
        </is>
      </c>
      <c r="G176" s="4" t="n">
        <v>2</v>
      </c>
      <c r="H176" s="5" t="n">
        <v>82122</v>
      </c>
      <c r="I176" s="6">
        <f>IF(OR(G176="",H176=""),"",G176*H176)</f>
        <v/>
      </c>
    </row>
    <row r="177">
      <c r="A177" s="2" t="inlineStr">
        <is>
          <t>Puerta Interior Dormitorio</t>
        </is>
      </c>
      <c r="B177" s="3" t="inlineStr">
        <is>
          <t>2.6. PUERTAS INTERIORES</t>
        </is>
      </c>
      <c r="C177" s="3" t="inlineStr">
        <is>
          <t>General</t>
        </is>
      </c>
      <c r="D177" s="3" t="inlineStr">
        <is>
          <t>CERRADURA MANILLA EMBUTIDA SCANAVINI 1054 - AN</t>
        </is>
      </c>
      <c r="E177" s="3" t="inlineStr">
        <is>
          <t>QCLL0111</t>
        </is>
      </c>
      <c r="F177" s="3" t="inlineStr">
        <is>
          <t>UN</t>
        </is>
      </c>
      <c r="G177" s="4" t="n">
        <v>2</v>
      </c>
      <c r="H177" s="5" t="n">
        <v>20882</v>
      </c>
      <c r="I177" s="6">
        <f>IF(OR(G177="",H177=""),"",G177*H177)</f>
        <v/>
      </c>
    </row>
    <row r="178">
      <c r="A178" s="2" t="inlineStr">
        <is>
          <t>Puerta Interior Dormitorio</t>
        </is>
      </c>
      <c r="B178" s="3" t="inlineStr">
        <is>
          <t>2.6. PUERTAS INTERIORES</t>
        </is>
      </c>
      <c r="C178" s="3" t="inlineStr">
        <is>
          <t>General</t>
        </is>
      </c>
      <c r="D178" s="3" t="inlineStr">
        <is>
          <t>TOPE PUERTA BASICO 30mmNEGRO BOLSA</t>
        </is>
      </c>
      <c r="E178" s="3" t="inlineStr">
        <is>
          <t>QCLL0074</t>
        </is>
      </c>
      <c r="F178" s="3" t="inlineStr">
        <is>
          <t>UN</t>
        </is>
      </c>
      <c r="G178" s="4" t="n">
        <v>2</v>
      </c>
      <c r="H178" s="5" t="n">
        <v>247.16</v>
      </c>
      <c r="I178" s="6">
        <f>IF(OR(G178="",H178=""),"",G178*H178)</f>
        <v/>
      </c>
    </row>
    <row r="179">
      <c r="A179" t="inlineStr"/>
      <c r="B179" t="inlineStr"/>
      <c r="C179" t="inlineStr"/>
      <c r="D179" s="7" t="inlineStr">
        <is>
          <t>Subtotal Puerta Interior Dormitorio</t>
        </is>
      </c>
      <c r="E179" t="inlineStr"/>
      <c r="F179" t="inlineStr"/>
      <c r="G179" t="inlineStr"/>
      <c r="H179" t="inlineStr"/>
      <c r="I179" s="8">
        <f>SUM(I173:I178)</f>
        <v/>
      </c>
    </row>
    <row r="180">
      <c r="A180" s="2" t="inlineStr">
        <is>
          <t>Kit Jonas Tifon</t>
        </is>
      </c>
      <c r="B180" s="3" t="inlineStr">
        <is>
          <t>2.7. VENTILACION PASIVA</t>
        </is>
      </c>
      <c r="C180" s="3" t="inlineStr">
        <is>
          <t>General</t>
        </is>
      </c>
      <c r="D180" s="3" t="inlineStr">
        <is>
          <t>VENT PASIVA JONAS 4 VERSION CUADRADA (F) CON TYFON</t>
        </is>
      </c>
      <c r="E180" s="3" t="inlineStr">
        <is>
          <t>VETI0035</t>
        </is>
      </c>
      <c r="F180" s="3" t="inlineStr">
        <is>
          <t>UN</t>
        </is>
      </c>
      <c r="G180" s="4" t="n">
        <v>4</v>
      </c>
      <c r="H180" s="5" t="n">
        <v>25898.39</v>
      </c>
      <c r="I180" s="6">
        <f>IF(OR(G180="",H180=""),"",G180*H180)</f>
        <v/>
      </c>
    </row>
    <row r="181">
      <c r="A181" s="2" t="inlineStr">
        <is>
          <t>Kit Jonas Tifon</t>
        </is>
      </c>
      <c r="B181" s="3" t="inlineStr">
        <is>
          <t>2.7. VENTILACION PASIVA</t>
        </is>
      </c>
      <c r="C181" s="3" t="inlineStr">
        <is>
          <t>General</t>
        </is>
      </c>
      <c r="D181" s="3" t="inlineStr">
        <is>
          <t>CELOSIA PROYECTANTE #150 BLANCA CON SELLO HERMÉTICO 801702</t>
        </is>
      </c>
      <c r="E181" s="3" t="inlineStr">
        <is>
          <t>VETI0050</t>
        </is>
      </c>
      <c r="F181" s="3" t="inlineStr">
        <is>
          <t>UN</t>
        </is>
      </c>
      <c r="G181" s="4" t="n">
        <v>1</v>
      </c>
      <c r="H181" s="5" t="n">
        <v>4420</v>
      </c>
      <c r="I181" s="6">
        <f>IF(OR(G181="",H181=""),"",G181*H181)</f>
        <v/>
      </c>
    </row>
    <row r="182">
      <c r="A182" t="inlineStr"/>
      <c r="B182" t="inlineStr"/>
      <c r="C182" t="inlineStr"/>
      <c r="D182" s="7" t="inlineStr">
        <is>
          <t>Subtotal Kit Jonas Tifon</t>
        </is>
      </c>
      <c r="E182" t="inlineStr"/>
      <c r="F182" t="inlineStr"/>
      <c r="G182" t="inlineStr"/>
      <c r="H182" t="inlineStr"/>
      <c r="I182" s="8">
        <f>SUM(I180:I181)</f>
        <v/>
      </c>
    </row>
    <row r="183">
      <c r="A183" s="2" t="inlineStr">
        <is>
          <t>Smart Panel 11,1 mm</t>
        </is>
      </c>
      <c r="B183" s="3" t="inlineStr">
        <is>
          <t>3.1. REVESTIMIENTOS EXTERIORES</t>
        </is>
      </c>
      <c r="C183" s="3" t="inlineStr">
        <is>
          <t>General</t>
        </is>
      </c>
      <c r="D183" s="3" t="inlineStr">
        <is>
          <t>SMART PANNEL H1. 11,1X1220X4880MM</t>
        </is>
      </c>
      <c r="E183" s="3" t="inlineStr">
        <is>
          <t>PLAC0045</t>
        </is>
      </c>
      <c r="F183" s="3" t="inlineStr">
        <is>
          <t>UN</t>
        </is>
      </c>
      <c r="G183" s="4" t="n">
        <v>25</v>
      </c>
      <c r="H183" s="5" t="n">
        <v>43500</v>
      </c>
      <c r="I183" s="6">
        <f>IF(OR(G183="",H183=""),"",G183*H183)</f>
        <v/>
      </c>
    </row>
    <row r="184">
      <c r="A184" s="2" t="inlineStr">
        <is>
          <t>Smart Panel 11,1 mm</t>
        </is>
      </c>
      <c r="B184" s="3" t="inlineStr">
        <is>
          <t>3.1. REVESTIMIENTOS EXTERIORES</t>
        </is>
      </c>
      <c r="C184" s="3" t="inlineStr">
        <is>
          <t>General</t>
        </is>
      </c>
      <c r="D184" s="3" t="inlineStr">
        <is>
          <t>CLAVO ANILL. PROFIX GALV 2.9X60MMX600X8R</t>
        </is>
      </c>
      <c r="E184" s="3" t="inlineStr">
        <is>
          <t>FIJA0502</t>
        </is>
      </c>
      <c r="F184" s="3" t="inlineStr">
        <is>
          <t>CAJA</t>
        </is>
      </c>
      <c r="G184" s="4" t="n">
        <v>0.41</v>
      </c>
      <c r="H184" s="5" t="n">
        <v>41000</v>
      </c>
      <c r="I184" s="6">
        <f>IF(OR(G184="",H184=""),"",G184*H184)</f>
        <v/>
      </c>
    </row>
    <row r="185">
      <c r="A185" s="2" t="inlineStr">
        <is>
          <t>Smart Panel 11,1 mm</t>
        </is>
      </c>
      <c r="B185" s="3" t="inlineStr">
        <is>
          <t>3.1. REVESTIMIENTOS EXTERIORES</t>
        </is>
      </c>
      <c r="C185" s="3" t="inlineStr">
        <is>
          <t>General</t>
        </is>
      </c>
      <c r="D185" s="3" t="inlineStr">
        <is>
          <t>TORNILLO VOLC. CRS 6 X 2</t>
        </is>
      </c>
      <c r="E185" s="3" t="inlineStr">
        <is>
          <t>FIJA0144</t>
        </is>
      </c>
      <c r="F185" s="3" t="inlineStr">
        <is>
          <t>UN</t>
        </is>
      </c>
      <c r="G185" s="4" t="n">
        <v>1000</v>
      </c>
      <c r="H185" s="5" t="n">
        <v>10.21</v>
      </c>
      <c r="I185" s="6">
        <f>IF(OR(G185="",H185=""),"",G185*H185)</f>
        <v/>
      </c>
    </row>
    <row r="186">
      <c r="A186" s="2" t="inlineStr">
        <is>
          <t>Smart Panel 11,1 mm</t>
        </is>
      </c>
      <c r="B186" s="3" t="inlineStr">
        <is>
          <t>3.1. REVESTIMIENTOS EXTERIORES</t>
        </is>
      </c>
      <c r="C186" s="3" t="inlineStr">
        <is>
          <t>General</t>
        </is>
      </c>
      <c r="D186" s="3" t="inlineStr">
        <is>
          <t>TORNILLO VOLC/MAD CRS 8 X 3</t>
        </is>
      </c>
      <c r="E186" s="3" t="inlineStr">
        <is>
          <t>FIJA0145</t>
        </is>
      </c>
      <c r="F186" s="3" t="inlineStr">
        <is>
          <t>UN</t>
        </is>
      </c>
      <c r="G186" s="4" t="n">
        <v>80</v>
      </c>
      <c r="H186" s="5" t="n">
        <v>19</v>
      </c>
      <c r="I186" s="6">
        <f>IF(OR(G186="",H186=""),"",G186*H186)</f>
        <v/>
      </c>
    </row>
    <row r="187">
      <c r="A187" t="inlineStr"/>
      <c r="B187" t="inlineStr"/>
      <c r="C187" t="inlineStr"/>
      <c r="D187" s="7" t="inlineStr">
        <is>
          <t>Subtotal Smart Panel 11,1 mm</t>
        </is>
      </c>
      <c r="E187" t="inlineStr"/>
      <c r="F187" t="inlineStr"/>
      <c r="G187" t="inlineStr"/>
      <c r="H187" t="inlineStr"/>
      <c r="I187" s="8">
        <f>SUM(I183:I186)</f>
        <v/>
      </c>
    </row>
    <row r="188">
      <c r="A188" s="2" t="inlineStr">
        <is>
          <t>Yeso Cartón Extra Resistente</t>
        </is>
      </c>
      <c r="B188" s="3" t="inlineStr">
        <is>
          <t>3.1. REVESTIMIENTOS EXTERIORES</t>
        </is>
      </c>
      <c r="C188" s="3" t="inlineStr">
        <is>
          <t>General</t>
        </is>
      </c>
      <c r="D188" s="3" t="inlineStr">
        <is>
          <t>YESO CARTON  XR BR 15mm  x 1,2 x 2,4 VOLCAN</t>
        </is>
      </c>
      <c r="E188" s="3" t="inlineStr">
        <is>
          <t>PLAC0062</t>
        </is>
      </c>
      <c r="F188" s="3" t="inlineStr">
        <is>
          <t>UN</t>
        </is>
      </c>
      <c r="G188" s="4" t="n">
        <v>14</v>
      </c>
      <c r="H188" s="5" t="n">
        <v>7801.4</v>
      </c>
      <c r="I188" s="6">
        <f>IF(OR(G188="",H188=""),"",G188*H188)</f>
        <v/>
      </c>
    </row>
    <row r="189">
      <c r="A189" s="2" t="inlineStr">
        <is>
          <t>Yeso Cartón Extra Resistente</t>
        </is>
      </c>
      <c r="B189" s="3" t="inlineStr">
        <is>
          <t>3.1. REVESTIMIENTOS EXTERIORES</t>
        </is>
      </c>
      <c r="C189" s="3" t="inlineStr">
        <is>
          <t>General</t>
        </is>
      </c>
      <c r="D189" s="3" t="inlineStr">
        <is>
          <t>GRAPA PROFIX 14/50MM X 10.000 UN - SAP GS1451</t>
        </is>
      </c>
      <c r="E189" s="3" t="inlineStr">
        <is>
          <t>HERR0091</t>
        </is>
      </c>
      <c r="F189" s="3" t="inlineStr">
        <is>
          <t>CAJA</t>
        </is>
      </c>
      <c r="G189" s="4" t="n">
        <v>0.015</v>
      </c>
      <c r="H189" s="5" t="n">
        <v>22000</v>
      </c>
      <c r="I189" s="6">
        <f>IF(OR(G189="",H189=""),"",G189*H189)</f>
        <v/>
      </c>
    </row>
    <row r="190">
      <c r="A190" s="2" t="inlineStr">
        <is>
          <t>Yeso Cartón Extra Resistente</t>
        </is>
      </c>
      <c r="B190" s="3" t="inlineStr">
        <is>
          <t>3.1. REVESTIMIENTOS EXTERIORES</t>
        </is>
      </c>
      <c r="C190" s="3" t="inlineStr">
        <is>
          <t>General</t>
        </is>
      </c>
      <c r="D190" s="3" t="inlineStr">
        <is>
          <t>TORNILLO 6X1-5/8</t>
        </is>
      </c>
      <c r="E190" s="3" t="inlineStr">
        <is>
          <t>FIJA0138</t>
        </is>
      </c>
      <c r="F190" s="3" t="inlineStr">
        <is>
          <t>UN</t>
        </is>
      </c>
      <c r="G190" s="4" t="n">
        <v>100</v>
      </c>
      <c r="H190" s="5" t="n">
        <v>8.02</v>
      </c>
      <c r="I190" s="6">
        <f>IF(OR(G190="",H190=""),"",G190*H190)</f>
        <v/>
      </c>
    </row>
    <row r="191">
      <c r="A191" s="2" t="inlineStr">
        <is>
          <t>Yeso Cartón Extra Resistente</t>
        </is>
      </c>
      <c r="B191" s="3" t="inlineStr">
        <is>
          <t>3.1. REVESTIMIENTOS EXTERIORES</t>
        </is>
      </c>
      <c r="C191" s="3" t="inlineStr">
        <is>
          <t>General</t>
        </is>
      </c>
      <c r="D191" s="3" t="inlineStr">
        <is>
          <t>YESO 25KG</t>
        </is>
      </c>
      <c r="E191" s="3" t="inlineStr">
        <is>
          <t>REVT0090</t>
        </is>
      </c>
      <c r="F191" s="3" t="inlineStr">
        <is>
          <t>SACO</t>
        </is>
      </c>
      <c r="G191" s="4" t="n">
        <v>0.04</v>
      </c>
      <c r="H191" s="5" t="n">
        <v>5289.13</v>
      </c>
      <c r="I191" s="6">
        <f>IF(OR(G191="",H191=""),"",G191*H191)</f>
        <v/>
      </c>
    </row>
    <row r="192">
      <c r="A192" t="inlineStr"/>
      <c r="B192" t="inlineStr"/>
      <c r="C192" t="inlineStr"/>
      <c r="D192" s="7" t="inlineStr">
        <is>
          <t>Subtotal Yeso Cartón Extra Resistente</t>
        </is>
      </c>
      <c r="E192" t="inlineStr"/>
      <c r="F192" t="inlineStr"/>
      <c r="G192" t="inlineStr"/>
      <c r="H192" t="inlineStr"/>
      <c r="I192" s="8">
        <f>SUM(I188:I191)</f>
        <v/>
      </c>
    </row>
    <row r="193">
      <c r="A193" s="2" t="inlineStr">
        <is>
          <t>Aglomerado Resistente a la Humedad</t>
        </is>
      </c>
      <c r="B193" s="3" t="inlineStr">
        <is>
          <t>3.2. REVESTIMIENTOS INTERIORES</t>
        </is>
      </c>
      <c r="C193" s="3" t="inlineStr">
        <is>
          <t>General</t>
        </is>
      </c>
      <c r="D193" s="3" t="inlineStr">
        <is>
          <t>MDP RH 12X2440X3280</t>
        </is>
      </c>
      <c r="E193" s="3" t="inlineStr">
        <is>
          <t>PLAC0004</t>
        </is>
      </c>
      <c r="F193" s="3" t="inlineStr">
        <is>
          <t>UN</t>
        </is>
      </c>
      <c r="G193" s="4" t="n">
        <v>34</v>
      </c>
      <c r="H193" s="5" t="n">
        <v>31884.23</v>
      </c>
      <c r="I193" s="6">
        <f>IF(OR(G193="",H193=""),"",G193*H193)</f>
        <v/>
      </c>
    </row>
    <row r="194">
      <c r="A194" s="2" t="inlineStr">
        <is>
          <t>Aglomerado Resistente a la Humedad</t>
        </is>
      </c>
      <c r="B194" s="3" t="inlineStr">
        <is>
          <t>3.2. REVESTIMIENTOS INTERIORES</t>
        </is>
      </c>
      <c r="C194" s="3" t="inlineStr">
        <is>
          <t>General</t>
        </is>
      </c>
      <c r="D194" s="3" t="inlineStr">
        <is>
          <t>GRAPA PROFIX 14/50MM X 10.000 UN - SAP GS1451</t>
        </is>
      </c>
      <c r="E194" s="3" t="inlineStr">
        <is>
          <t>HERR0091</t>
        </is>
      </c>
      <c r="F194" s="3" t="inlineStr">
        <is>
          <t>CAJA</t>
        </is>
      </c>
      <c r="G194" s="4" t="n">
        <v>0.35</v>
      </c>
      <c r="H194" s="5" t="n">
        <v>22000</v>
      </c>
      <c r="I194" s="6">
        <f>IF(OR(G194="",H194=""),"",G194*H194)</f>
        <v/>
      </c>
    </row>
    <row r="195">
      <c r="A195" t="inlineStr"/>
      <c r="B195" t="inlineStr"/>
      <c r="C195" t="inlineStr"/>
      <c r="D195" s="7" t="inlineStr">
        <is>
          <t>Subtotal Aglomerado Resistente a la Humedad</t>
        </is>
      </c>
      <c r="E195" t="inlineStr"/>
      <c r="F195" t="inlineStr"/>
      <c r="G195" t="inlineStr"/>
      <c r="H195" t="inlineStr"/>
      <c r="I195" s="8">
        <f>SUM(I193:I194)</f>
        <v/>
      </c>
    </row>
    <row r="196">
      <c r="A196" s="2" t="inlineStr">
        <is>
          <t>Alfombra</t>
        </is>
      </c>
      <c r="B196" s="3" t="inlineStr">
        <is>
          <t>3.2. REVESTIMIENTOS INTERIORES</t>
        </is>
      </c>
      <c r="C196" s="3" t="inlineStr">
        <is>
          <t>General</t>
        </is>
      </c>
      <c r="D196" s="3" t="inlineStr">
        <is>
          <t>ALFOMBRA  TERRA IVORY 4MT</t>
        </is>
      </c>
      <c r="E196" s="3" t="inlineStr">
        <is>
          <t>PISO0047</t>
        </is>
      </c>
      <c r="F196" s="3" t="inlineStr">
        <is>
          <t>M2</t>
        </is>
      </c>
      <c r="G196" s="4" t="n">
        <v>27</v>
      </c>
      <c r="H196" s="5" t="n">
        <v>4610.58</v>
      </c>
      <c r="I196" s="6">
        <f>IF(OR(G196="",H196=""),"",G196*H196)</f>
        <v/>
      </c>
    </row>
    <row r="197">
      <c r="A197" t="inlineStr"/>
      <c r="B197" t="inlineStr"/>
      <c r="C197" t="inlineStr"/>
      <c r="D197" s="7" t="inlineStr">
        <is>
          <t>Subtotal Alfombra</t>
        </is>
      </c>
      <c r="E197" t="inlineStr"/>
      <c r="F197" t="inlineStr"/>
      <c r="G197" t="inlineStr"/>
      <c r="H197" t="inlineStr"/>
      <c r="I197" s="8">
        <f>SUM(I196:I196)</f>
        <v/>
      </c>
    </row>
    <row r="198">
      <c r="A198" s="2" t="inlineStr">
        <is>
          <t>PVC Alveolar Fotolaminado - Romancia 8 mm Bambuu</t>
        </is>
      </c>
      <c r="B198" s="3" t="inlineStr">
        <is>
          <t>3.2. REVESTIMIENTOS INTERIORES</t>
        </is>
      </c>
      <c r="C198" s="3" t="inlineStr">
        <is>
          <t>General</t>
        </is>
      </c>
      <c r="D198" s="3" t="inlineStr">
        <is>
          <t>REVESTIMIENTO MURO BAMBU HC127 - 240X40 CM  - 8UN/CJ</t>
        </is>
      </c>
      <c r="E198" s="3" t="inlineStr">
        <is>
          <t>REVT0062</t>
        </is>
      </c>
      <c r="F198" s="3" t="inlineStr">
        <is>
          <t>CAJA</t>
        </is>
      </c>
      <c r="G198" s="4" t="n">
        <v>1.4</v>
      </c>
      <c r="H198" s="5" t="n">
        <v>55960.21</v>
      </c>
      <c r="I198" s="6">
        <f>IF(OR(G198="",H198=""),"",G198*H198)</f>
        <v/>
      </c>
    </row>
    <row r="199">
      <c r="A199" s="2" t="inlineStr">
        <is>
          <t>PVC Alveolar Fotolaminado - Romancia 8 mm Bambuu</t>
        </is>
      </c>
      <c r="B199" s="3" t="inlineStr">
        <is>
          <t>3.2. REVESTIMIENTOS INTERIORES</t>
        </is>
      </c>
      <c r="C199" s="3" t="inlineStr">
        <is>
          <t>General</t>
        </is>
      </c>
      <c r="D199" s="3" t="inlineStr">
        <is>
          <t>PERFIL L 20X20MMX3MTS BLANCO</t>
        </is>
      </c>
      <c r="E199" s="3" t="inlineStr">
        <is>
          <t>ESQI0015</t>
        </is>
      </c>
      <c r="F199" s="3" t="inlineStr">
        <is>
          <t>UN</t>
        </is>
      </c>
      <c r="G199" s="4" t="n">
        <v>3</v>
      </c>
      <c r="H199" s="5" t="n">
        <v>3451.63</v>
      </c>
      <c r="I199" s="6">
        <f>IF(OR(G199="",H199=""),"",G199*H199)</f>
        <v/>
      </c>
    </row>
    <row r="200">
      <c r="A200" s="2" t="inlineStr">
        <is>
          <t>PVC Alveolar Fotolaminado - Romancia 8 mm Bambuu</t>
        </is>
      </c>
      <c r="B200" s="3" t="inlineStr">
        <is>
          <t>3.2. REVESTIMIENTOS INTERIORES</t>
        </is>
      </c>
      <c r="C200" s="3" t="inlineStr">
        <is>
          <t>General</t>
        </is>
      </c>
      <c r="D200" s="3" t="inlineStr">
        <is>
          <t>ESQUINERO P/CERAMICA10MMX2,5M BLANCO</t>
        </is>
      </c>
      <c r="E200" s="3" t="inlineStr">
        <is>
          <t>ESQI0034</t>
        </is>
      </c>
      <c r="F200" s="3" t="inlineStr">
        <is>
          <t>UN</t>
        </is>
      </c>
      <c r="G200" s="4" t="n">
        <v>1</v>
      </c>
      <c r="H200" s="5" t="n">
        <v>976.9299999999999</v>
      </c>
      <c r="I200" s="6">
        <f>IF(OR(G200="",H200=""),"",G200*H200)</f>
        <v/>
      </c>
    </row>
    <row r="201">
      <c r="A201" s="2" t="inlineStr">
        <is>
          <t>PVC Alveolar Fotolaminado - Romancia 8 mm Bambuu</t>
        </is>
      </c>
      <c r="B201" s="3" t="inlineStr">
        <is>
          <t>3.2. REVESTIMIENTOS INTERIORES</t>
        </is>
      </c>
      <c r="C201" s="3" t="inlineStr">
        <is>
          <t>General</t>
        </is>
      </c>
      <c r="D201" s="3" t="inlineStr">
        <is>
          <t>TORNILLO AUTO AVELLANANTE 6X11/4 PTA. FINA</t>
        </is>
      </c>
      <c r="E201" s="3" t="inlineStr">
        <is>
          <t>FIJA0175</t>
        </is>
      </c>
      <c r="F201" s="3" t="inlineStr">
        <is>
          <t>UN</t>
        </is>
      </c>
      <c r="G201" s="4" t="n">
        <v>200</v>
      </c>
      <c r="H201" s="5" t="n">
        <v>12.83</v>
      </c>
      <c r="I201" s="6">
        <f>IF(OR(G201="",H201=""),"",G201*H201)</f>
        <v/>
      </c>
    </row>
    <row r="202">
      <c r="A202" s="2" t="inlineStr">
        <is>
          <t>PVC Alveolar Fotolaminado - Romancia 8 mm Bambuu</t>
        </is>
      </c>
      <c r="B202" s="3" t="inlineStr">
        <is>
          <t>3.2. REVESTIMIENTOS INTERIORES</t>
        </is>
      </c>
      <c r="C202" s="3" t="inlineStr">
        <is>
          <t>General</t>
        </is>
      </c>
      <c r="D202" s="3" t="inlineStr">
        <is>
          <t>PERFIL L 11X11MMX3MTS BLANCO</t>
        </is>
      </c>
      <c r="E202" s="3" t="inlineStr">
        <is>
          <t>ESQI0014</t>
        </is>
      </c>
      <c r="F202" s="3" t="inlineStr">
        <is>
          <t>UN</t>
        </is>
      </c>
      <c r="G202" s="4" t="n">
        <v>2</v>
      </c>
      <c r="H202" s="5" t="n">
        <v>1520.73</v>
      </c>
      <c r="I202" s="6">
        <f>IF(OR(G202="",H202=""),"",G202*H202)</f>
        <v/>
      </c>
    </row>
    <row r="203">
      <c r="A203" t="inlineStr"/>
      <c r="B203" t="inlineStr"/>
      <c r="C203" t="inlineStr"/>
      <c r="D203" s="7" t="inlineStr">
        <is>
          <t>Subtotal PVC Alveolar Fotolaminado - Romancia 8 mm Bambuu</t>
        </is>
      </c>
      <c r="E203" t="inlineStr"/>
      <c r="F203" t="inlineStr"/>
      <c r="G203" t="inlineStr"/>
      <c r="H203" t="inlineStr"/>
      <c r="I203" s="8">
        <f>SUM(I198:I202)</f>
        <v/>
      </c>
    </row>
    <row r="204">
      <c r="A204" s="2" t="inlineStr">
        <is>
          <t>Piso Vinílico SPC</t>
        </is>
      </c>
      <c r="B204" s="3" t="inlineStr">
        <is>
          <t>3.2. REVESTIMIENTOS INTERIORES</t>
        </is>
      </c>
      <c r="C204" s="3" t="inlineStr">
        <is>
          <t>General</t>
        </is>
      </c>
      <c r="D204" s="3" t="inlineStr">
        <is>
          <t>PISO VINILICO MANDALA GRECO SPC -N</t>
        </is>
      </c>
      <c r="E204" s="3" t="inlineStr">
        <is>
          <t>PISO0029</t>
        </is>
      </c>
      <c r="F204" s="3" t="inlineStr">
        <is>
          <t>CAJA</t>
        </is>
      </c>
      <c r="G204" s="4" t="n">
        <v>11</v>
      </c>
      <c r="H204" s="5" t="n">
        <v>23234.09</v>
      </c>
      <c r="I204" s="6">
        <f>IF(OR(G204="",H204=""),"",G204*H204)</f>
        <v/>
      </c>
    </row>
    <row r="205">
      <c r="A205" t="inlineStr"/>
      <c r="B205" t="inlineStr"/>
      <c r="C205" t="inlineStr"/>
      <c r="D205" s="7" t="inlineStr">
        <is>
          <t>Subtotal Piso Vinílico SPC</t>
        </is>
      </c>
      <c r="E205" t="inlineStr"/>
      <c r="F205" t="inlineStr"/>
      <c r="G205" t="inlineStr"/>
      <c r="H205" t="inlineStr"/>
      <c r="I205" s="8">
        <f>SUM(I204:I204)</f>
        <v/>
      </c>
    </row>
    <row r="206">
      <c r="A206" s="2" t="inlineStr">
        <is>
          <t>Salpicadero Cocina</t>
        </is>
      </c>
      <c r="B206" s="3" t="inlineStr">
        <is>
          <t>3.2. REVESTIMIENTOS INTERIORES</t>
        </is>
      </c>
      <c r="C206" s="3" t="inlineStr">
        <is>
          <t>General</t>
        </is>
      </c>
      <c r="D206" s="3" t="inlineStr">
        <is>
          <t>PLACA FIBROCEMENTO SIMPLICIMA  MAD RUSTICA SOFT 6MM</t>
        </is>
      </c>
      <c r="E206" s="3" t="inlineStr">
        <is>
          <t>PLAC0066</t>
        </is>
      </c>
      <c r="F206" s="3" t="inlineStr">
        <is>
          <t>UN</t>
        </is>
      </c>
      <c r="G206" s="4" t="n">
        <v>0.5</v>
      </c>
      <c r="H206" s="5" t="n">
        <v>26318</v>
      </c>
      <c r="I206" s="6">
        <f>IF(OR(G206="",H206=""),"",G206*H206)</f>
        <v/>
      </c>
    </row>
    <row r="207">
      <c r="A207" s="2" t="inlineStr">
        <is>
          <t>Salpicadero Cocina</t>
        </is>
      </c>
      <c r="B207" s="3" t="inlineStr">
        <is>
          <t>3.2. REVESTIMIENTOS INTERIORES</t>
        </is>
      </c>
      <c r="C207" s="3" t="inlineStr">
        <is>
          <t>General</t>
        </is>
      </c>
      <c r="D207" s="3" t="inlineStr">
        <is>
          <t>ADHESIVO DE MONTAJE MULTIPROPOSITO 850 - HEAVY DUTY</t>
        </is>
      </c>
      <c r="E207" s="3" t="inlineStr">
        <is>
          <t>SELL0045</t>
        </is>
      </c>
      <c r="F207" s="3" t="inlineStr">
        <is>
          <t>UN</t>
        </is>
      </c>
      <c r="G207" s="4" t="n">
        <v>0.25</v>
      </c>
      <c r="H207" s="5" t="n">
        <v>8686</v>
      </c>
      <c r="I207" s="6">
        <f>IF(OR(G207="",H207=""),"",G207*H207)</f>
        <v/>
      </c>
    </row>
    <row r="208">
      <c r="A208" t="inlineStr"/>
      <c r="B208" t="inlineStr"/>
      <c r="C208" t="inlineStr"/>
      <c r="D208" s="7" t="inlineStr">
        <is>
          <t>Subtotal Salpicadero Cocina</t>
        </is>
      </c>
      <c r="E208" t="inlineStr"/>
      <c r="F208" t="inlineStr"/>
      <c r="G208" t="inlineStr"/>
      <c r="H208" t="inlineStr"/>
      <c r="I208" s="8">
        <f>SUM(I206:I207)</f>
        <v/>
      </c>
    </row>
    <row r="209">
      <c r="A209" s="2" t="inlineStr">
        <is>
          <t>Esmalte Al Agua</t>
        </is>
      </c>
      <c r="B209" s="3" t="inlineStr">
        <is>
          <t>3.3. PINTURAS</t>
        </is>
      </c>
      <c r="C209" s="3" t="inlineStr">
        <is>
          <t>General</t>
        </is>
      </c>
      <c r="D209" s="3" t="inlineStr">
        <is>
          <t>ESMALTE PATAGUAL 250 GALONES</t>
        </is>
      </c>
      <c r="E209" s="3" t="inlineStr">
        <is>
          <t>REVT0249</t>
        </is>
      </c>
      <c r="F209" s="3" t="inlineStr">
        <is>
          <t>LTS</t>
        </is>
      </c>
      <c r="G209" s="4" t="n">
        <v>15</v>
      </c>
      <c r="H209" s="5" t="n">
        <v>4440</v>
      </c>
      <c r="I209" s="6">
        <f>IF(OR(G209="",H209=""),"",G209*H209)</f>
        <v/>
      </c>
    </row>
    <row r="210">
      <c r="A210" s="2" t="inlineStr">
        <is>
          <t>Esmalte Al Agua</t>
        </is>
      </c>
      <c r="B210" s="3" t="inlineStr">
        <is>
          <t>3.3. PINTURAS</t>
        </is>
      </c>
      <c r="C210" s="3" t="inlineStr">
        <is>
          <t>General</t>
        </is>
      </c>
      <c r="D210" s="3" t="inlineStr">
        <is>
          <t>PINCEL PLANO N-12</t>
        </is>
      </c>
      <c r="E210" s="3" t="inlineStr">
        <is>
          <t>ARES0235</t>
        </is>
      </c>
      <c r="F210" s="3" t="inlineStr">
        <is>
          <t>UN</t>
        </is>
      </c>
      <c r="G210" s="4" t="n">
        <v>0.1</v>
      </c>
      <c r="H210" s="5" t="n">
        <v>415</v>
      </c>
      <c r="I210" s="6">
        <f>IF(OR(G210="",H210=""),"",G210*H210)</f>
        <v/>
      </c>
    </row>
    <row r="211">
      <c r="A211" s="2" t="inlineStr">
        <is>
          <t>Esmalte Al Agua</t>
        </is>
      </c>
      <c r="B211" s="3" t="inlineStr">
        <is>
          <t>3.3. PINTURAS</t>
        </is>
      </c>
      <c r="C211" s="3" t="inlineStr">
        <is>
          <t>General</t>
        </is>
      </c>
      <c r="D211" s="3" t="inlineStr">
        <is>
          <t>RODILLO HELA CORTAGOTA 18CM PELO 15MM</t>
        </is>
      </c>
      <c r="E211" s="3" t="inlineStr">
        <is>
          <t>HERR0636</t>
        </is>
      </c>
      <c r="F211" s="3" t="inlineStr">
        <is>
          <t>UN</t>
        </is>
      </c>
      <c r="G211" s="4" t="n">
        <v>0.25</v>
      </c>
      <c r="H211" s="5" t="n">
        <v>3032.23</v>
      </c>
      <c r="I211" s="6">
        <f>IF(OR(G211="",H211=""),"",G211*H211)</f>
        <v/>
      </c>
    </row>
    <row r="212">
      <c r="A212" s="2" t="inlineStr">
        <is>
          <t>Esmalte Al Agua</t>
        </is>
      </c>
      <c r="B212" s="3" t="inlineStr">
        <is>
          <t>3.3. PINTURAS</t>
        </is>
      </c>
      <c r="C212" s="3" t="inlineStr">
        <is>
          <t>General</t>
        </is>
      </c>
      <c r="D212" s="3" t="inlineStr">
        <is>
          <t>LIJA MADERA GR-080</t>
        </is>
      </c>
      <c r="E212" s="3" t="inlineStr">
        <is>
          <t>HERR0119</t>
        </is>
      </c>
      <c r="F212" s="3" t="inlineStr">
        <is>
          <t>UN</t>
        </is>
      </c>
      <c r="G212" s="4" t="n">
        <v>1</v>
      </c>
      <c r="H212" s="5" t="n">
        <v>127</v>
      </c>
      <c r="I212" s="6">
        <f>IF(OR(G212="",H212=""),"",G212*H212)</f>
        <v/>
      </c>
    </row>
    <row r="213">
      <c r="A213" s="2" t="inlineStr">
        <is>
          <t>Esmalte Al Agua</t>
        </is>
      </c>
      <c r="B213" s="3" t="inlineStr">
        <is>
          <t>3.3. PINTURAS</t>
        </is>
      </c>
      <c r="C213" s="3" t="inlineStr">
        <is>
          <t>General</t>
        </is>
      </c>
      <c r="D213" s="3" t="inlineStr">
        <is>
          <t>LIJA MADERA GR-120</t>
        </is>
      </c>
      <c r="E213" s="3" t="inlineStr">
        <is>
          <t>HERR0120</t>
        </is>
      </c>
      <c r="F213" s="3" t="inlineStr">
        <is>
          <t>UN</t>
        </is>
      </c>
      <c r="G213" s="4" t="n">
        <v>3</v>
      </c>
      <c r="H213" s="5" t="n">
        <v>127.83</v>
      </c>
      <c r="I213" s="6">
        <f>IF(OR(G213="",H213=""),"",G213*H213)</f>
        <v/>
      </c>
    </row>
    <row r="214">
      <c r="A214" s="2" t="inlineStr">
        <is>
          <t>Esmalte Al Agua</t>
        </is>
      </c>
      <c r="B214" s="3" t="inlineStr">
        <is>
          <t>3.3. PINTURAS</t>
        </is>
      </c>
      <c r="C214" s="3" t="inlineStr">
        <is>
          <t>General</t>
        </is>
      </c>
      <c r="D214" s="3" t="inlineStr">
        <is>
          <t>LIJA MADERA GR-180</t>
        </is>
      </c>
      <c r="E214" s="3" t="inlineStr">
        <is>
          <t>HERR0121</t>
        </is>
      </c>
      <c r="F214" s="3" t="inlineStr">
        <is>
          <t>UN</t>
        </is>
      </c>
      <c r="G214" s="4" t="n">
        <v>1</v>
      </c>
      <c r="H214" s="5" t="n">
        <v>148.98</v>
      </c>
      <c r="I214" s="6">
        <f>IF(OR(G214="",H214=""),"",G214*H214)</f>
        <v/>
      </c>
    </row>
    <row r="215">
      <c r="A215" s="2" t="inlineStr">
        <is>
          <t>Esmalte Al Agua</t>
        </is>
      </c>
      <c r="B215" s="3" t="inlineStr">
        <is>
          <t>3.3. PINTURAS</t>
        </is>
      </c>
      <c r="C215" s="3" t="inlineStr">
        <is>
          <t>General</t>
        </is>
      </c>
      <c r="D215" s="3" t="inlineStr">
        <is>
          <t>CINTA ENMASCARAR 1 (PEGOTE)</t>
        </is>
      </c>
      <c r="E215" s="3" t="inlineStr">
        <is>
          <t>ADHE0021</t>
        </is>
      </c>
      <c r="F215" s="3" t="inlineStr">
        <is>
          <t>UN</t>
        </is>
      </c>
      <c r="G215" s="4" t="n">
        <v>1</v>
      </c>
      <c r="H215" s="5" t="n">
        <v>470.21</v>
      </c>
      <c r="I215" s="6">
        <f>IF(OR(G215="",H215=""),"",G215*H215)</f>
        <v/>
      </c>
    </row>
    <row r="216">
      <c r="A216" s="2" t="inlineStr">
        <is>
          <t>Esmalte Al Agua</t>
        </is>
      </c>
      <c r="B216" s="3" t="inlineStr">
        <is>
          <t>3.3. PINTURAS</t>
        </is>
      </c>
      <c r="C216" s="3" t="inlineStr">
        <is>
          <t>General</t>
        </is>
      </c>
      <c r="D216" s="3" t="inlineStr">
        <is>
          <t>CINTA ENMASCARAR 2 (PEGOTE)</t>
        </is>
      </c>
      <c r="E216" s="3" t="inlineStr">
        <is>
          <t>ADHE0022</t>
        </is>
      </c>
      <c r="F216" s="3" t="inlineStr">
        <is>
          <t>UN</t>
        </is>
      </c>
      <c r="G216" s="4" t="n">
        <v>4</v>
      </c>
      <c r="H216" s="5" t="n">
        <v>933.63</v>
      </c>
      <c r="I216" s="6">
        <f>IF(OR(G216="",H216=""),"",G216*H216)</f>
        <v/>
      </c>
    </row>
    <row r="217">
      <c r="A217" s="2" t="inlineStr">
        <is>
          <t>Esmalte Al Agua</t>
        </is>
      </c>
      <c r="B217" s="3" t="inlineStr">
        <is>
          <t>3.3. PINTURAS</t>
        </is>
      </c>
      <c r="C217" s="3" t="inlineStr">
        <is>
          <t>General</t>
        </is>
      </c>
      <c r="D217" s="3" t="inlineStr">
        <is>
          <t>PAPEL KRAFT 135 GR - 1.60 ANCHO 6000</t>
        </is>
      </c>
      <c r="E217" s="3" t="inlineStr">
        <is>
          <t>HERR0759</t>
        </is>
      </c>
      <c r="F217" s="3" t="inlineStr">
        <is>
          <t>ML</t>
        </is>
      </c>
      <c r="G217" s="4" t="n">
        <v>7</v>
      </c>
      <c r="H217" s="5" t="n">
        <v>398.03</v>
      </c>
      <c r="I217" s="6">
        <f>IF(OR(G217="",H217=""),"",G217*H217)</f>
        <v/>
      </c>
    </row>
    <row r="218">
      <c r="A218" s="2" t="inlineStr">
        <is>
          <t>Esmalte Al Agua</t>
        </is>
      </c>
      <c r="B218" s="3" t="inlineStr">
        <is>
          <t>3.3. PINTURAS</t>
        </is>
      </c>
      <c r="C218" s="3" t="inlineStr">
        <is>
          <t>General</t>
        </is>
      </c>
      <c r="D218" s="3" t="inlineStr">
        <is>
          <t>DILUYENTE DUCO 1LT</t>
        </is>
      </c>
      <c r="E218" s="3" t="inlineStr">
        <is>
          <t>HERR0632</t>
        </is>
      </c>
      <c r="F218" s="3" t="inlineStr">
        <is>
          <t>UN</t>
        </is>
      </c>
      <c r="G218" s="4" t="n">
        <v>1</v>
      </c>
      <c r="H218" s="5" t="n">
        <v>2441.38</v>
      </c>
      <c r="I218" s="6">
        <f>IF(OR(G218="",H218=""),"",G218*H218)</f>
        <v/>
      </c>
    </row>
    <row r="219">
      <c r="A219" s="2" t="inlineStr">
        <is>
          <t>Esmalte Al Agua</t>
        </is>
      </c>
      <c r="B219" s="3" t="inlineStr">
        <is>
          <t>3.3. PINTURAS</t>
        </is>
      </c>
      <c r="C219" s="3" t="inlineStr">
        <is>
          <t>General</t>
        </is>
      </c>
      <c r="D219" s="3" t="inlineStr">
        <is>
          <t>PAÑO LIMPIEZA BLANCO</t>
        </is>
      </c>
      <c r="E219" s="3" t="inlineStr">
        <is>
          <t>HERR0712</t>
        </is>
      </c>
      <c r="F219" s="3" t="inlineStr">
        <is>
          <t>KG</t>
        </is>
      </c>
      <c r="G219" s="4" t="n">
        <v>1</v>
      </c>
      <c r="H219" s="5" t="n">
        <v>2759.8</v>
      </c>
      <c r="I219" s="6">
        <f>IF(OR(G219="",H219=""),"",G219*H219)</f>
        <v/>
      </c>
    </row>
    <row r="220">
      <c r="A220" s="2" t="inlineStr">
        <is>
          <t>Esmalte Al Agua</t>
        </is>
      </c>
      <c r="B220" s="3" t="inlineStr">
        <is>
          <t>3.3. PINTURAS</t>
        </is>
      </c>
      <c r="C220" s="3" t="inlineStr">
        <is>
          <t>General</t>
        </is>
      </c>
      <c r="D220" s="3" t="inlineStr">
        <is>
          <t>BROCHA 1</t>
        </is>
      </c>
      <c r="E220" s="3" t="inlineStr">
        <is>
          <t>HERR0033</t>
        </is>
      </c>
      <c r="F220" s="3" t="inlineStr">
        <is>
          <t>UN</t>
        </is>
      </c>
      <c r="G220" s="4" t="n">
        <v>0.1</v>
      </c>
      <c r="H220" s="5" t="n">
        <v>319.65</v>
      </c>
      <c r="I220" s="6">
        <f>IF(OR(G220="",H220=""),"",G220*H220)</f>
        <v/>
      </c>
    </row>
    <row r="221">
      <c r="A221" s="2" t="inlineStr">
        <is>
          <t>Esmalte Al Agua</t>
        </is>
      </c>
      <c r="B221" s="3" t="inlineStr">
        <is>
          <t>3.3. PINTURAS</t>
        </is>
      </c>
      <c r="C221" s="3" t="inlineStr">
        <is>
          <t>General</t>
        </is>
      </c>
      <c r="D221" s="3" t="inlineStr">
        <is>
          <t>BROCHA 1-1/2</t>
        </is>
      </c>
      <c r="E221" s="3" t="inlineStr">
        <is>
          <t>HERR0034</t>
        </is>
      </c>
      <c r="F221" s="3" t="inlineStr">
        <is>
          <t>UN</t>
        </is>
      </c>
      <c r="G221" s="4" t="n">
        <v>0.1</v>
      </c>
      <c r="H221" s="5" t="n">
        <v>509.23</v>
      </c>
      <c r="I221" s="6">
        <f>IF(OR(G221="",H221=""),"",G221*H221)</f>
        <v/>
      </c>
    </row>
    <row r="222">
      <c r="A222" s="2" t="inlineStr">
        <is>
          <t>Esmalte Al Agua</t>
        </is>
      </c>
      <c r="B222" s="3" t="inlineStr">
        <is>
          <t>3.3. PINTURAS</t>
        </is>
      </c>
      <c r="C222" s="3" t="inlineStr">
        <is>
          <t>General</t>
        </is>
      </c>
      <c r="D222" s="3" t="inlineStr">
        <is>
          <t>BROCHA 2-1/2</t>
        </is>
      </c>
      <c r="E222" s="3" t="inlineStr">
        <is>
          <t>HERR0035</t>
        </is>
      </c>
      <c r="F222" s="3" t="inlineStr">
        <is>
          <t>UN</t>
        </is>
      </c>
      <c r="G222" s="4" t="n">
        <v>0.1</v>
      </c>
      <c r="H222" s="5" t="n">
        <v>927.09</v>
      </c>
      <c r="I222" s="6">
        <f>IF(OR(G222="",H222=""),"",G222*H222)</f>
        <v/>
      </c>
    </row>
    <row r="223">
      <c r="A223" s="2" t="inlineStr">
        <is>
          <t>Esmalte Al Agua</t>
        </is>
      </c>
      <c r="B223" s="3" t="inlineStr">
        <is>
          <t>3.3. PINTURAS</t>
        </is>
      </c>
      <c r="C223" s="3" t="inlineStr">
        <is>
          <t>General</t>
        </is>
      </c>
      <c r="D223" s="3" t="inlineStr">
        <is>
          <t>BROCHA 3</t>
        </is>
      </c>
      <c r="E223" s="3" t="inlineStr">
        <is>
          <t>HERR0036</t>
        </is>
      </c>
      <c r="F223" s="3" t="inlineStr">
        <is>
          <t>UN</t>
        </is>
      </c>
      <c r="G223" s="4" t="n">
        <v>0.25</v>
      </c>
      <c r="H223" s="5" t="n">
        <v>1083.97</v>
      </c>
      <c r="I223" s="6">
        <f>IF(OR(G223="",H223=""),"",G223*H223)</f>
        <v/>
      </c>
    </row>
    <row r="224">
      <c r="A224" s="2" t="inlineStr">
        <is>
          <t>Esmalte Al Agua</t>
        </is>
      </c>
      <c r="B224" s="3" t="inlineStr">
        <is>
          <t>3.3. PINTURAS</t>
        </is>
      </c>
      <c r="C224" s="3" t="inlineStr">
        <is>
          <t>General</t>
        </is>
      </c>
      <c r="D224" s="3" t="inlineStr">
        <is>
          <t>BROCHA 4</t>
        </is>
      </c>
      <c r="E224" s="3" t="inlineStr">
        <is>
          <t>HERR0256</t>
        </is>
      </c>
      <c r="F224" s="3" t="inlineStr">
        <is>
          <t>UN</t>
        </is>
      </c>
      <c r="G224" s="4" t="n">
        <v>0.25</v>
      </c>
      <c r="H224" s="5" t="n">
        <v>1510.96</v>
      </c>
      <c r="I224" s="6">
        <f>IF(OR(G224="",H224=""),"",G224*H224)</f>
        <v/>
      </c>
    </row>
    <row r="225">
      <c r="A225" t="inlineStr"/>
      <c r="B225" t="inlineStr"/>
      <c r="C225" t="inlineStr"/>
      <c r="D225" s="7" t="inlineStr">
        <is>
          <t>Subtotal Esmalte Al Agua</t>
        </is>
      </c>
      <c r="E225" t="inlineStr"/>
      <c r="F225" t="inlineStr"/>
      <c r="G225" t="inlineStr"/>
      <c r="H225" t="inlineStr"/>
      <c r="I225" s="8">
        <f>SUM(I209:I224)</f>
        <v/>
      </c>
    </row>
    <row r="226">
      <c r="A226" s="2" t="inlineStr">
        <is>
          <t>Esmalte Hidrofugante AR27</t>
        </is>
      </c>
      <c r="B226" s="3" t="inlineStr">
        <is>
          <t>3.3. PINTURAS</t>
        </is>
      </c>
      <c r="C226" s="3" t="inlineStr">
        <is>
          <t>General</t>
        </is>
      </c>
      <c r="D226" s="3" t="inlineStr">
        <is>
          <t>ESMALTE HAF: HIDROFUGANTE AUTOLIMPIANTE - BLANCO RFR 9003</t>
        </is>
      </c>
      <c r="E226" s="3" t="inlineStr">
        <is>
          <t>REVT0261</t>
        </is>
      </c>
      <c r="F226" s="3" t="inlineStr">
        <is>
          <t>TINETA</t>
        </is>
      </c>
      <c r="G226" s="4" t="n">
        <v>0.14</v>
      </c>
      <c r="H226" s="5" t="n">
        <v>67000</v>
      </c>
      <c r="I226" s="6">
        <f>IF(OR(G226="",H226=""),"",G226*H226)</f>
        <v/>
      </c>
    </row>
    <row r="227">
      <c r="A227" s="2" t="inlineStr">
        <is>
          <t>Esmalte Hidrofugante AR27</t>
        </is>
      </c>
      <c r="B227" s="3" t="inlineStr">
        <is>
          <t>3.3. PINTURAS</t>
        </is>
      </c>
      <c r="C227" s="3" t="inlineStr">
        <is>
          <t>General</t>
        </is>
      </c>
      <c r="D227" s="3" t="inlineStr">
        <is>
          <t>RODILLO CHIPORRO 18 cm MANGO ROJO</t>
        </is>
      </c>
      <c r="E227" s="3" t="inlineStr">
        <is>
          <t>HERR0374</t>
        </is>
      </c>
      <c r="F227" s="3" t="inlineStr">
        <is>
          <t>UN</t>
        </is>
      </c>
      <c r="G227" s="4" t="n">
        <v>0.15</v>
      </c>
      <c r="H227" s="5" t="n">
        <v>6839.49</v>
      </c>
      <c r="I227" s="6">
        <f>IF(OR(G227="",H227=""),"",G227*H227)</f>
        <v/>
      </c>
    </row>
    <row r="228">
      <c r="A228" s="2" t="inlineStr">
        <is>
          <t>Esmalte Hidrofugante AR27</t>
        </is>
      </c>
      <c r="B228" s="3" t="inlineStr">
        <is>
          <t>3.3. PINTURAS</t>
        </is>
      </c>
      <c r="C228" s="3" t="inlineStr">
        <is>
          <t>General</t>
        </is>
      </c>
      <c r="D228" s="3" t="inlineStr">
        <is>
          <t>BROCHA 2</t>
        </is>
      </c>
      <c r="E228" s="3" t="inlineStr">
        <is>
          <t>HERR0255</t>
        </is>
      </c>
      <c r="F228" s="3" t="inlineStr">
        <is>
          <t>UN</t>
        </is>
      </c>
      <c r="G228" s="4" t="n">
        <v>0.15</v>
      </c>
      <c r="H228" s="5" t="n">
        <v>665.22</v>
      </c>
      <c r="I228" s="6">
        <f>IF(OR(G228="",H228=""),"",G228*H228)</f>
        <v/>
      </c>
    </row>
    <row r="229">
      <c r="A229" s="2" t="inlineStr">
        <is>
          <t>Esmalte Hidrofugante AR27</t>
        </is>
      </c>
      <c r="B229" s="3" t="inlineStr">
        <is>
          <t>3.3. PINTURAS</t>
        </is>
      </c>
      <c r="C229" s="3" t="inlineStr">
        <is>
          <t>General</t>
        </is>
      </c>
      <c r="D229" s="3" t="inlineStr">
        <is>
          <t>BROCHA 4</t>
        </is>
      </c>
      <c r="E229" s="3" t="inlineStr">
        <is>
          <t>HERR0256</t>
        </is>
      </c>
      <c r="F229" s="3" t="inlineStr">
        <is>
          <t>UN</t>
        </is>
      </c>
      <c r="G229" s="4" t="n">
        <v>0.15</v>
      </c>
      <c r="H229" s="5" t="n">
        <v>1510.96</v>
      </c>
      <c r="I229" s="6">
        <f>IF(OR(G229="",H229=""),"",G229*H229)</f>
        <v/>
      </c>
    </row>
    <row r="230">
      <c r="A230" s="2" t="inlineStr">
        <is>
          <t>Esmalte Hidrofugante AR27</t>
        </is>
      </c>
      <c r="B230" s="3" t="inlineStr">
        <is>
          <t>3.3. PINTURAS</t>
        </is>
      </c>
      <c r="C230" s="3" t="inlineStr">
        <is>
          <t>General</t>
        </is>
      </c>
      <c r="D230" s="3" t="inlineStr">
        <is>
          <t>LIJA ORBITAL P-180</t>
        </is>
      </c>
      <c r="E230" s="3" t="inlineStr">
        <is>
          <t>HERR0132</t>
        </is>
      </c>
      <c r="F230" s="3" t="inlineStr">
        <is>
          <t>UN</t>
        </is>
      </c>
      <c r="G230" s="4" t="n">
        <v>1</v>
      </c>
      <c r="H230" s="5" t="n">
        <v>330</v>
      </c>
      <c r="I230" s="6">
        <f>IF(OR(G230="",H230=""),"",G230*H230)</f>
        <v/>
      </c>
    </row>
    <row r="231">
      <c r="A231" s="2" t="inlineStr">
        <is>
          <t>Esmalte Hidrofugante AR27</t>
        </is>
      </c>
      <c r="B231" s="3" t="inlineStr">
        <is>
          <t>3.3. PINTURAS</t>
        </is>
      </c>
      <c r="C231" s="3" t="inlineStr">
        <is>
          <t>General</t>
        </is>
      </c>
      <c r="D231" s="3" t="inlineStr">
        <is>
          <t>ESMALTE HAF: HIDROFUGANTE AUTOLIMPIANTE - ANTIFUNGI AZUL RFS</t>
        </is>
      </c>
      <c r="E231" s="3" t="inlineStr">
        <is>
          <t>REVT0258</t>
        </is>
      </c>
      <c r="F231" s="3" t="inlineStr">
        <is>
          <t>TINETA</t>
        </is>
      </c>
      <c r="G231" s="4" t="n">
        <v>0.1</v>
      </c>
      <c r="H231" s="5" t="n">
        <v>67000</v>
      </c>
      <c r="I231" s="6">
        <f>IF(OR(G231="",H231=""),"",G231*H231)</f>
        <v/>
      </c>
    </row>
    <row r="232">
      <c r="A232" s="2" t="inlineStr">
        <is>
          <t>Esmalte Hidrofugante AR27</t>
        </is>
      </c>
      <c r="B232" s="3" t="inlineStr">
        <is>
          <t>3.3. PINTURAS</t>
        </is>
      </c>
      <c r="C232" s="3" t="inlineStr">
        <is>
          <t>General</t>
        </is>
      </c>
      <c r="D232" s="3" t="inlineStr">
        <is>
          <t>ESMALTE HAF: HIDROFUGANTE AUTOLIMPIANTE - VERDE RF RFS0427</t>
        </is>
      </c>
      <c r="E232" s="3" t="inlineStr">
        <is>
          <t>REVT0259</t>
        </is>
      </c>
      <c r="F232" s="3" t="inlineStr">
        <is>
          <t>TINETA</t>
        </is>
      </c>
      <c r="G232" s="4" t="n">
        <v>0.1</v>
      </c>
      <c r="H232" s="5" t="n">
        <v>67000</v>
      </c>
      <c r="I232" s="6">
        <f>IF(OR(G232="",H232=""),"",G232*H232)</f>
        <v/>
      </c>
    </row>
    <row r="233">
      <c r="A233" s="2" t="inlineStr">
        <is>
          <t>Esmalte Hidrofugante AR27</t>
        </is>
      </c>
      <c r="B233" s="3" t="inlineStr">
        <is>
          <t>3.3. PINTURAS</t>
        </is>
      </c>
      <c r="C233" s="3" t="inlineStr">
        <is>
          <t>General</t>
        </is>
      </c>
      <c r="D233" s="3" t="inlineStr">
        <is>
          <t>ESMALTE HAF: HIDROFUGANTE AUTOLIMPIANTE - AMARILLO RFS0869</t>
        </is>
      </c>
      <c r="E233" s="3" t="inlineStr">
        <is>
          <t>REVT0260</t>
        </is>
      </c>
      <c r="F233" s="3" t="inlineStr">
        <is>
          <t>TINETA</t>
        </is>
      </c>
      <c r="G233" s="4" t="n">
        <v>0.1</v>
      </c>
      <c r="H233" s="5" t="n">
        <v>67000</v>
      </c>
      <c r="I233" s="6">
        <f>IF(OR(G233="",H233=""),"",G233*H233)</f>
        <v/>
      </c>
    </row>
    <row r="234">
      <c r="A234" t="inlineStr"/>
      <c r="B234" t="inlineStr"/>
      <c r="C234" t="inlineStr"/>
      <c r="D234" s="7" t="inlineStr">
        <is>
          <t>Subtotal Esmalte Hidrofugante AR27</t>
        </is>
      </c>
      <c r="E234" t="inlineStr"/>
      <c r="F234" t="inlineStr"/>
      <c r="G234" t="inlineStr"/>
      <c r="H234" t="inlineStr"/>
      <c r="I234" s="8">
        <f>SUM(I226:I233)</f>
        <v/>
      </c>
    </row>
    <row r="235">
      <c r="A235" s="2" t="inlineStr">
        <is>
          <t>Pintura Base</t>
        </is>
      </c>
      <c r="B235" s="3" t="inlineStr">
        <is>
          <t>3.3. PINTURAS</t>
        </is>
      </c>
      <c r="C235" s="3" t="inlineStr">
        <is>
          <t>General</t>
        </is>
      </c>
      <c r="D235" s="3" t="inlineStr">
        <is>
          <t>MASTERWALL SAHARA HIDDEN WHITE 23KG</t>
        </is>
      </c>
      <c r="E235" s="3" t="inlineStr">
        <is>
          <t>REVT0025</t>
        </is>
      </c>
      <c r="F235" s="3" t="inlineStr">
        <is>
          <t>TN</t>
        </is>
      </c>
      <c r="G235" s="4" t="n">
        <v>1</v>
      </c>
      <c r="H235" s="5" t="n">
        <v>72405.95</v>
      </c>
      <c r="I235" s="6">
        <f>IF(OR(G235="",H235=""),"",G235*H235)</f>
        <v/>
      </c>
    </row>
    <row r="236">
      <c r="A236" s="2" t="inlineStr">
        <is>
          <t>Pintura Base</t>
        </is>
      </c>
      <c r="B236" s="3" t="inlineStr">
        <is>
          <t>3.3. PINTURAS</t>
        </is>
      </c>
      <c r="C236" s="3" t="inlineStr">
        <is>
          <t>General</t>
        </is>
      </c>
      <c r="D236" s="3" t="inlineStr">
        <is>
          <t>RODILLO CHIPORRO 18 cm MANGO ROJO</t>
        </is>
      </c>
      <c r="E236" s="3" t="inlineStr">
        <is>
          <t>HERR0374</t>
        </is>
      </c>
      <c r="F236" s="3" t="inlineStr">
        <is>
          <t>UN</t>
        </is>
      </c>
      <c r="G236" s="4" t="n">
        <v>0.25</v>
      </c>
      <c r="H236" s="5" t="n">
        <v>6839.49</v>
      </c>
      <c r="I236" s="6">
        <f>IF(OR(G236="",H236=""),"",G236*H236)</f>
        <v/>
      </c>
    </row>
    <row r="237">
      <c r="A237" s="2" t="inlineStr">
        <is>
          <t>Pintura Base</t>
        </is>
      </c>
      <c r="B237" s="3" t="inlineStr">
        <is>
          <t>3.3. PINTURAS</t>
        </is>
      </c>
      <c r="C237" s="3" t="inlineStr">
        <is>
          <t>General</t>
        </is>
      </c>
      <c r="D237" s="3" t="inlineStr">
        <is>
          <t>LIJA ORBITAL P-060</t>
        </is>
      </c>
      <c r="E237" s="3" t="inlineStr">
        <is>
          <t>HERR0127</t>
        </is>
      </c>
      <c r="F237" s="3" t="inlineStr">
        <is>
          <t>UN</t>
        </is>
      </c>
      <c r="G237" s="4" t="n">
        <v>1</v>
      </c>
      <c r="H237" s="5" t="n">
        <v>411.08</v>
      </c>
      <c r="I237" s="6">
        <f>IF(OR(G237="",H237=""),"",G237*H237)</f>
        <v/>
      </c>
    </row>
    <row r="238">
      <c r="A238" s="2" t="inlineStr">
        <is>
          <t>Pintura Base</t>
        </is>
      </c>
      <c r="B238" s="3" t="inlineStr">
        <is>
          <t>3.3. PINTURAS</t>
        </is>
      </c>
      <c r="C238" s="3" t="inlineStr">
        <is>
          <t>General</t>
        </is>
      </c>
      <c r="D238" s="3" t="inlineStr">
        <is>
          <t>LIJA ORBITAL P-080</t>
        </is>
      </c>
      <c r="E238" s="3" t="inlineStr">
        <is>
          <t>HERR0128</t>
        </is>
      </c>
      <c r="F238" s="3" t="inlineStr">
        <is>
          <t>UN</t>
        </is>
      </c>
      <c r="G238" s="4" t="n">
        <v>1</v>
      </c>
      <c r="H238" s="5" t="n">
        <v>410</v>
      </c>
      <c r="I238" s="6">
        <f>IF(OR(G238="",H238=""),"",G238*H238)</f>
        <v/>
      </c>
    </row>
    <row r="239">
      <c r="A239" s="2" t="inlineStr">
        <is>
          <t>Pintura Base</t>
        </is>
      </c>
      <c r="B239" s="3" t="inlineStr">
        <is>
          <t>3.3. PINTURAS</t>
        </is>
      </c>
      <c r="C239" s="3" t="inlineStr">
        <is>
          <t>General</t>
        </is>
      </c>
      <c r="D239" s="3" t="inlineStr">
        <is>
          <t>LIJA ORBITAL P-100</t>
        </is>
      </c>
      <c r="E239" s="3" t="inlineStr">
        <is>
          <t>HERR0285</t>
        </is>
      </c>
      <c r="F239" s="3" t="inlineStr">
        <is>
          <t>UN</t>
        </is>
      </c>
      <c r="G239" s="4" t="n">
        <v>1</v>
      </c>
      <c r="H239" s="5" t="n">
        <v>330</v>
      </c>
      <c r="I239" s="6">
        <f>IF(OR(G239="",H239=""),"",G239*H239)</f>
        <v/>
      </c>
    </row>
    <row r="240">
      <c r="A240" s="2" t="inlineStr">
        <is>
          <t>Pintura Base</t>
        </is>
      </c>
      <c r="B240" s="3" t="inlineStr">
        <is>
          <t>3.3. PINTURAS</t>
        </is>
      </c>
      <c r="C240" s="3" t="inlineStr">
        <is>
          <t>General</t>
        </is>
      </c>
      <c r="D240" s="3" t="inlineStr">
        <is>
          <t>LIJA ORBITAL P-120</t>
        </is>
      </c>
      <c r="E240" s="3" t="inlineStr">
        <is>
          <t>HERR0130</t>
        </is>
      </c>
      <c r="F240" s="3" t="inlineStr">
        <is>
          <t>UN</t>
        </is>
      </c>
      <c r="G240" s="4" t="n">
        <v>1</v>
      </c>
      <c r="H240" s="5" t="n">
        <v>340.07</v>
      </c>
      <c r="I240" s="6">
        <f>IF(OR(G240="",H240=""),"",G240*H240)</f>
        <v/>
      </c>
    </row>
    <row r="241">
      <c r="A241" t="inlineStr"/>
      <c r="B241" t="inlineStr"/>
      <c r="C241" t="inlineStr"/>
      <c r="D241" s="7" t="inlineStr">
        <is>
          <t>Subtotal Pintura Base</t>
        </is>
      </c>
      <c r="E241" t="inlineStr"/>
      <c r="F241" t="inlineStr"/>
      <c r="G241" t="inlineStr"/>
      <c r="H241" t="inlineStr"/>
      <c r="I241" s="8">
        <f>SUM(I235:I240)</f>
        <v/>
      </c>
    </row>
    <row r="242">
      <c r="A242" s="2" t="inlineStr">
        <is>
          <t>Espuma de Poliuretano</t>
        </is>
      </c>
      <c r="B242" s="3" t="inlineStr">
        <is>
          <t>3.4. SELLOS</t>
        </is>
      </c>
      <c r="C242" s="3" t="inlineStr">
        <is>
          <t>General</t>
        </is>
      </c>
      <c r="D242" s="3" t="inlineStr">
        <is>
          <t>ESPUMA DE POLIURETANO EP3000 750ML</t>
        </is>
      </c>
      <c r="E242" s="3" t="inlineStr">
        <is>
          <t>SELL0003</t>
        </is>
      </c>
      <c r="F242" s="3" t="inlineStr">
        <is>
          <t>UN</t>
        </is>
      </c>
      <c r="G242" s="4" t="n">
        <v>2</v>
      </c>
      <c r="H242" s="5" t="n">
        <v>4075.75</v>
      </c>
      <c r="I242" s="6">
        <f>IF(OR(G242="",H242=""),"",G242*H242)</f>
        <v/>
      </c>
    </row>
    <row r="243">
      <c r="A243" t="inlineStr"/>
      <c r="B243" t="inlineStr"/>
      <c r="C243" t="inlineStr"/>
      <c r="D243" s="7" t="inlineStr">
        <is>
          <t>Subtotal Espuma de Poliuretano</t>
        </is>
      </c>
      <c r="E243" t="inlineStr"/>
      <c r="F243" t="inlineStr"/>
      <c r="G243" t="inlineStr"/>
      <c r="H243" t="inlineStr"/>
      <c r="I243" s="8">
        <f>SUM(I242:I242)</f>
        <v/>
      </c>
    </row>
    <row r="244">
      <c r="A244" s="2" t="inlineStr">
        <is>
          <t>Flashing Tape</t>
        </is>
      </c>
      <c r="B244" s="3" t="inlineStr">
        <is>
          <t>3.4. SELLOS</t>
        </is>
      </c>
      <c r="C244" s="3" t="inlineStr">
        <is>
          <t>General</t>
        </is>
      </c>
      <c r="D244" s="3" t="inlineStr">
        <is>
          <t>SIGNO 60MM X 25M (FLASHING TAPE)</t>
        </is>
      </c>
      <c r="E244" s="3" t="inlineStr">
        <is>
          <t>SELL0025</t>
        </is>
      </c>
      <c r="F244" s="3" t="inlineStr">
        <is>
          <t>ROLLO</t>
        </is>
      </c>
      <c r="G244" s="4" t="n">
        <v>2</v>
      </c>
      <c r="H244" s="5" t="n">
        <v>10554.99</v>
      </c>
      <c r="I244" s="6">
        <f>IF(OR(G244="",H244=""),"",G244*H244)</f>
        <v/>
      </c>
    </row>
    <row r="245">
      <c r="A245" t="inlineStr"/>
      <c r="B245" t="inlineStr"/>
      <c r="C245" t="inlineStr"/>
      <c r="D245" s="7" t="inlineStr">
        <is>
          <t>Subtotal Flashing Tape</t>
        </is>
      </c>
      <c r="E245" t="inlineStr"/>
      <c r="F245" t="inlineStr"/>
      <c r="G245" t="inlineStr"/>
      <c r="H245" t="inlineStr"/>
      <c r="I245" s="8">
        <f>SUM(I244:I244)</f>
        <v/>
      </c>
    </row>
    <row r="246">
      <c r="A246" s="2" t="inlineStr">
        <is>
          <t>Pasta de Retape</t>
        </is>
      </c>
      <c r="B246" s="3" t="inlineStr">
        <is>
          <t>3.4. SELLOS</t>
        </is>
      </c>
      <c r="C246" s="3" t="inlineStr">
        <is>
          <t>General</t>
        </is>
      </c>
      <c r="D246" s="3" t="inlineStr">
        <is>
          <t>HOLZMASSE: MASILLA B/SOLV. 1K MADERA NATURAL 08 75</t>
        </is>
      </c>
      <c r="E246" s="3" t="inlineStr">
        <is>
          <t>REVT0199</t>
        </is>
      </c>
      <c r="F246" s="3" t="inlineStr">
        <is>
          <t>UN</t>
        </is>
      </c>
      <c r="G246" s="4" t="n">
        <v>1.75</v>
      </c>
      <c r="H246" s="5" t="n">
        <v>18563</v>
      </c>
      <c r="I246" s="6">
        <f>IF(OR(G246="",H246=""),"",G246*H246)</f>
        <v/>
      </c>
    </row>
    <row r="247">
      <c r="A247" s="2" t="inlineStr">
        <is>
          <t>Pasta de Retape</t>
        </is>
      </c>
      <c r="B247" s="3" t="inlineStr">
        <is>
          <t>3.4. SELLOS</t>
        </is>
      </c>
      <c r="C247" s="3" t="inlineStr">
        <is>
          <t>General</t>
        </is>
      </c>
      <c r="D247" s="3" t="inlineStr">
        <is>
          <t>PASTA MURO INTERIOR F-15 25KG</t>
        </is>
      </c>
      <c r="E247" s="3" t="inlineStr">
        <is>
          <t>REVT0037</t>
        </is>
      </c>
      <c r="F247" s="3" t="inlineStr">
        <is>
          <t>TINETA</t>
        </is>
      </c>
      <c r="G247" s="4" t="n">
        <v>0.25</v>
      </c>
      <c r="H247" s="5" t="n">
        <v>13194.39</v>
      </c>
      <c r="I247" s="6">
        <f>IF(OR(G247="",H247=""),"",G247*H247)</f>
        <v/>
      </c>
    </row>
    <row r="248">
      <c r="A248" s="2" t="inlineStr">
        <is>
          <t>Pasta de Retape</t>
        </is>
      </c>
      <c r="B248" s="3" t="inlineStr">
        <is>
          <t>3.4. SELLOS</t>
        </is>
      </c>
      <c r="C248" s="3" t="inlineStr">
        <is>
          <t>General</t>
        </is>
      </c>
      <c r="D248" s="3" t="inlineStr">
        <is>
          <t>ENDURECEDOR P/MASILLA 28gr</t>
        </is>
      </c>
      <c r="E248" s="3" t="inlineStr">
        <is>
          <t>HERR0603</t>
        </is>
      </c>
      <c r="F248" s="3" t="inlineStr">
        <is>
          <t>UN</t>
        </is>
      </c>
      <c r="G248" s="4" t="n">
        <v>1</v>
      </c>
      <c r="H248" s="5" t="n">
        <v>1505.91</v>
      </c>
      <c r="I248" s="6">
        <f>IF(OR(G248="",H248=""),"",G248*H248)</f>
        <v/>
      </c>
    </row>
    <row r="249">
      <c r="A249" s="2" t="inlineStr">
        <is>
          <t>Pasta de Retape</t>
        </is>
      </c>
      <c r="B249" s="3" t="inlineStr">
        <is>
          <t>3.4. SELLOS</t>
        </is>
      </c>
      <c r="C249" s="3" t="inlineStr">
        <is>
          <t>General</t>
        </is>
      </c>
      <c r="D249" s="3" t="inlineStr">
        <is>
          <t>MASILLA MAGICA LIVIANA 700ML</t>
        </is>
      </c>
      <c r="E249" s="3" t="inlineStr">
        <is>
          <t>HERR0638</t>
        </is>
      </c>
      <c r="F249" s="3" t="inlineStr">
        <is>
          <t>UN</t>
        </is>
      </c>
      <c r="G249" s="4" t="n">
        <v>0.15</v>
      </c>
      <c r="H249" s="5" t="n">
        <v>13378.91</v>
      </c>
      <c r="I249" s="6">
        <f>IF(OR(G249="",H249=""),"",G249*H249)</f>
        <v/>
      </c>
    </row>
    <row r="250">
      <c r="A250" t="inlineStr"/>
      <c r="B250" t="inlineStr"/>
      <c r="C250" t="inlineStr"/>
      <c r="D250" s="7" t="inlineStr">
        <is>
          <t>Subtotal Pasta de Retape</t>
        </is>
      </c>
      <c r="E250" t="inlineStr"/>
      <c r="F250" t="inlineStr"/>
      <c r="G250" t="inlineStr"/>
      <c r="H250" t="inlineStr"/>
      <c r="I250" s="8">
        <f>SUM(I246:I249)</f>
        <v/>
      </c>
    </row>
    <row r="251">
      <c r="A251" s="2" t="inlineStr">
        <is>
          <t>Sellador Acrílico</t>
        </is>
      </c>
      <c r="B251" s="3" t="inlineStr">
        <is>
          <t>3.4. SELLOS</t>
        </is>
      </c>
      <c r="C251" s="3" t="inlineStr">
        <is>
          <t>General</t>
        </is>
      </c>
      <c r="D251" s="3" t="inlineStr">
        <is>
          <t>SELLADOR ACRILICO PINTABLE</t>
        </is>
      </c>
      <c r="E251" s="3" t="inlineStr">
        <is>
          <t>SELL0023</t>
        </is>
      </c>
      <c r="F251" s="3" t="inlineStr">
        <is>
          <t>UN</t>
        </is>
      </c>
      <c r="G251" s="4" t="n">
        <v>3</v>
      </c>
      <c r="H251" s="5" t="n">
        <v>930.03</v>
      </c>
      <c r="I251" s="6">
        <f>IF(OR(G251="",H251=""),"",G251*H251)</f>
        <v/>
      </c>
    </row>
    <row r="252">
      <c r="A252" t="inlineStr"/>
      <c r="B252" t="inlineStr"/>
      <c r="C252" t="inlineStr"/>
      <c r="D252" s="7" t="inlineStr">
        <is>
          <t>Subtotal Sellador Acrílico</t>
        </is>
      </c>
      <c r="E252" t="inlineStr"/>
      <c r="F252" t="inlineStr"/>
      <c r="G252" t="inlineStr"/>
      <c r="H252" t="inlineStr"/>
      <c r="I252" s="8">
        <f>SUM(I251:I251)</f>
        <v/>
      </c>
    </row>
    <row r="253">
      <c r="A253" s="2" t="inlineStr">
        <is>
          <t>Sellador de Silicona Neutra</t>
        </is>
      </c>
      <c r="B253" s="3" t="inlineStr">
        <is>
          <t>3.4. SELLOS</t>
        </is>
      </c>
      <c r="C253" s="3" t="inlineStr">
        <is>
          <t>General</t>
        </is>
      </c>
      <c r="D253" s="3" t="inlineStr">
        <is>
          <t>SIKASIL IN BLANCO CARTUCHO X 280ML</t>
        </is>
      </c>
      <c r="E253" s="3" t="inlineStr">
        <is>
          <t>SELL0051</t>
        </is>
      </c>
      <c r="F253" s="3" t="inlineStr">
        <is>
          <t>UN</t>
        </is>
      </c>
      <c r="G253" s="4" t="n">
        <v>3</v>
      </c>
      <c r="H253" s="5" t="n">
        <v>3083</v>
      </c>
      <c r="I253" s="6">
        <f>IF(OR(G253="",H253=""),"",G253*H253)</f>
        <v/>
      </c>
    </row>
    <row r="254">
      <c r="A254" t="inlineStr"/>
      <c r="B254" t="inlineStr"/>
      <c r="C254" t="inlineStr"/>
      <c r="D254" s="7" t="inlineStr">
        <is>
          <t>Subtotal Sellador de Silicona Neutra</t>
        </is>
      </c>
      <c r="E254" t="inlineStr"/>
      <c r="F254" t="inlineStr"/>
      <c r="G254" t="inlineStr"/>
      <c r="H254" t="inlineStr"/>
      <c r="I254" s="8">
        <f>SUM(I253:I253)</f>
        <v/>
      </c>
    </row>
    <row r="255">
      <c r="A255" s="2" t="inlineStr">
        <is>
          <t>Sello Exterior de Poliuretano</t>
        </is>
      </c>
      <c r="B255" s="3" t="inlineStr">
        <is>
          <t>3.4. SELLOS</t>
        </is>
      </c>
      <c r="C255" s="3" t="inlineStr">
        <is>
          <t>General</t>
        </is>
      </c>
      <c r="D255" s="3" t="inlineStr">
        <is>
          <t>SIKAFLEX 221 BLANCO 600CC PATE</t>
        </is>
      </c>
      <c r="E255" s="3" t="inlineStr">
        <is>
          <t>SELL0062</t>
        </is>
      </c>
      <c r="F255" s="3" t="inlineStr">
        <is>
          <t>UN</t>
        </is>
      </c>
      <c r="G255" s="4" t="n">
        <v>6.5</v>
      </c>
      <c r="H255" s="5" t="n">
        <v>6000</v>
      </c>
      <c r="I255" s="6">
        <f>IF(OR(G255="",H255=""),"",G255*H255)</f>
        <v/>
      </c>
    </row>
    <row r="256">
      <c r="A256" t="inlineStr"/>
      <c r="B256" t="inlineStr"/>
      <c r="C256" t="inlineStr"/>
      <c r="D256" s="7" t="inlineStr">
        <is>
          <t>Subtotal Sello Exterior de Poliuretano</t>
        </is>
      </c>
      <c r="E256" t="inlineStr"/>
      <c r="F256" t="inlineStr"/>
      <c r="G256" t="inlineStr"/>
      <c r="H256" t="inlineStr"/>
      <c r="I256" s="8">
        <f>SUM(I255:I255)</f>
        <v/>
      </c>
    </row>
    <row r="257">
      <c r="A257" s="2" t="inlineStr">
        <is>
          <t>Sellos Interiores Pintables</t>
        </is>
      </c>
      <c r="B257" s="3" t="inlineStr">
        <is>
          <t>3.4. SELLOS</t>
        </is>
      </c>
      <c r="C257" s="3" t="inlineStr">
        <is>
          <t>General</t>
        </is>
      </c>
      <c r="D257" s="3" t="inlineStr">
        <is>
          <t>DYNAFLEX 230 PREMIUM CARTUCHO</t>
        </is>
      </c>
      <c r="E257" s="3" t="inlineStr">
        <is>
          <t>SELL0040</t>
        </is>
      </c>
      <c r="F257" s="3" t="inlineStr">
        <is>
          <t>UN</t>
        </is>
      </c>
      <c r="G257" s="4" t="n">
        <v>1</v>
      </c>
      <c r="H257" s="5" t="n">
        <v>0</v>
      </c>
      <c r="I257" s="6">
        <f>IF(OR(G257="",H257=""),"",G257*H257)</f>
        <v/>
      </c>
    </row>
    <row r="258">
      <c r="A258" t="inlineStr"/>
      <c r="B258" t="inlineStr"/>
      <c r="C258" t="inlineStr"/>
      <c r="D258" s="7" t="inlineStr">
        <is>
          <t>Subtotal Sellos Interiores Pintables</t>
        </is>
      </c>
      <c r="E258" t="inlineStr"/>
      <c r="F258" t="inlineStr"/>
      <c r="G258" t="inlineStr"/>
      <c r="H258" t="inlineStr"/>
      <c r="I258" s="8">
        <f>SUM(I257:I257)</f>
        <v/>
      </c>
    </row>
    <row r="259">
      <c r="A259" s="2" t="inlineStr">
        <is>
          <t>Cinturas de Escalera en MDP</t>
        </is>
      </c>
      <c r="B259" s="3" t="inlineStr">
        <is>
          <t>3.5. MOLDURAS SOBREPUESTAS</t>
        </is>
      </c>
      <c r="C259" s="3" t="inlineStr">
        <is>
          <t>General</t>
        </is>
      </c>
      <c r="D259" s="3" t="inlineStr">
        <is>
          <t>MDP RH 12X2440X3280</t>
        </is>
      </c>
      <c r="E259" s="3" t="inlineStr">
        <is>
          <t>PLAC0004</t>
        </is>
      </c>
      <c r="F259" s="3" t="inlineStr">
        <is>
          <t>UN</t>
        </is>
      </c>
      <c r="G259" s="4" t="n">
        <v>0.4</v>
      </c>
      <c r="H259" s="5" t="n">
        <v>31884.23</v>
      </c>
      <c r="I259" s="6">
        <f>IF(OR(G259="",H259=""),"",G259*H259)</f>
        <v/>
      </c>
    </row>
    <row r="260">
      <c r="A260" s="2" t="inlineStr">
        <is>
          <t>Cinturas de Escalera en MDP</t>
        </is>
      </c>
      <c r="B260" s="3" t="inlineStr">
        <is>
          <t>3.5. MOLDURAS SOBREPUESTAS</t>
        </is>
      </c>
      <c r="C260" s="3" t="inlineStr">
        <is>
          <t>General</t>
        </is>
      </c>
      <c r="D260" s="3" t="inlineStr">
        <is>
          <t>TORNILLO VOLC/MAD P/AGUDA CINCADO 6x1. 1/4 in</t>
        </is>
      </c>
      <c r="E260" s="3" t="inlineStr">
        <is>
          <t>FIJA0312</t>
        </is>
      </c>
      <c r="F260" s="3" t="inlineStr">
        <is>
          <t>UN</t>
        </is>
      </c>
      <c r="G260" s="4" t="n">
        <v>35</v>
      </c>
      <c r="H260" s="5" t="n">
        <v>6.74</v>
      </c>
      <c r="I260" s="6">
        <f>IF(OR(G260="",H260=""),"",G260*H260)</f>
        <v/>
      </c>
    </row>
    <row r="261">
      <c r="A261" t="inlineStr"/>
      <c r="B261" t="inlineStr"/>
      <c r="C261" t="inlineStr"/>
      <c r="D261" s="7" t="inlineStr">
        <is>
          <t>Subtotal Cinturas de Escalera en MDP</t>
        </is>
      </c>
      <c r="E261" t="inlineStr"/>
      <c r="F261" t="inlineStr"/>
      <c r="G261" t="inlineStr"/>
      <c r="H261" t="inlineStr"/>
      <c r="I261" s="8">
        <f>SUM(I259:I260)</f>
        <v/>
      </c>
    </row>
    <row r="262">
      <c r="A262" s="2" t="inlineStr">
        <is>
          <t>Cornisas de Baño</t>
        </is>
      </c>
      <c r="B262" s="3" t="inlineStr">
        <is>
          <t>3.5. MOLDURAS SOBREPUESTAS</t>
        </is>
      </c>
      <c r="C262" s="3" t="inlineStr">
        <is>
          <t>General</t>
        </is>
      </c>
      <c r="D262" s="3" t="inlineStr">
        <is>
          <t>MDP RH 12X2440X3280</t>
        </is>
      </c>
      <c r="E262" s="3" t="inlineStr">
        <is>
          <t>PLAC0004</t>
        </is>
      </c>
      <c r="F262" s="3" t="inlineStr">
        <is>
          <t>UN</t>
        </is>
      </c>
      <c r="G262" s="4" t="n">
        <v>0.09</v>
      </c>
      <c r="H262" s="5" t="n">
        <v>31884.23</v>
      </c>
      <c r="I262" s="6">
        <f>IF(OR(G262="",H262=""),"",G262*H262)</f>
        <v/>
      </c>
    </row>
    <row r="263">
      <c r="A263" s="2" t="inlineStr">
        <is>
          <t>Cornisas de Baño</t>
        </is>
      </c>
      <c r="B263" s="3" t="inlineStr">
        <is>
          <t>3.5. MOLDURAS SOBREPUESTAS</t>
        </is>
      </c>
      <c r="C263" s="3" t="inlineStr">
        <is>
          <t>General</t>
        </is>
      </c>
      <c r="D263" s="3" t="inlineStr">
        <is>
          <t>PUNTA F-12/50mm x 5000un</t>
        </is>
      </c>
      <c r="E263" s="3" t="inlineStr">
        <is>
          <t>FIJA0324</t>
        </is>
      </c>
      <c r="F263" s="3" t="inlineStr">
        <is>
          <t>CAJA</t>
        </is>
      </c>
      <c r="G263" s="4" t="n">
        <v>0.0014</v>
      </c>
      <c r="H263" s="5" t="n">
        <v>2953.01</v>
      </c>
      <c r="I263" s="6">
        <f>IF(OR(G263="",H263=""),"",G263*H263)</f>
        <v/>
      </c>
    </row>
    <row r="264">
      <c r="A264" s="2" t="inlineStr">
        <is>
          <t>Cornisas de Baño</t>
        </is>
      </c>
      <c r="B264" s="3" t="inlineStr">
        <is>
          <t>3.5. MOLDURAS SOBREPUESTAS</t>
        </is>
      </c>
      <c r="C264" s="3" t="inlineStr">
        <is>
          <t>General</t>
        </is>
      </c>
      <c r="D264" s="3" t="inlineStr">
        <is>
          <t>PUTTY W.B. FACE 264 SA/HEMLOCK</t>
        </is>
      </c>
      <c r="E264" s="3" t="inlineStr">
        <is>
          <t>REVT0255</t>
        </is>
      </c>
      <c r="F264" s="3" t="inlineStr">
        <is>
          <t>TINETA</t>
        </is>
      </c>
      <c r="G264" s="4" t="n">
        <v>0.001</v>
      </c>
      <c r="H264" s="5" t="n">
        <v>66480.09</v>
      </c>
      <c r="I264" s="6">
        <f>IF(OR(G264="",H264=""),"",G264*H264)</f>
        <v/>
      </c>
    </row>
    <row r="265">
      <c r="A265" t="inlineStr"/>
      <c r="B265" t="inlineStr"/>
      <c r="C265" t="inlineStr"/>
      <c r="D265" s="7" t="inlineStr">
        <is>
          <t>Subtotal Cornisas de Baño</t>
        </is>
      </c>
      <c r="E265" t="inlineStr"/>
      <c r="F265" t="inlineStr"/>
      <c r="G265" t="inlineStr"/>
      <c r="H265" t="inlineStr"/>
      <c r="I265" s="8">
        <f>SUM(I262:I264)</f>
        <v/>
      </c>
    </row>
    <row r="266">
      <c r="A266" s="2" t="inlineStr">
        <is>
          <t>Endolados de Ventanas</t>
        </is>
      </c>
      <c r="B266" s="3" t="inlineStr">
        <is>
          <t>3.5. MOLDURAS SOBREPUESTAS</t>
        </is>
      </c>
      <c r="C266" s="3" t="inlineStr">
        <is>
          <t>General</t>
        </is>
      </c>
      <c r="D266" s="3" t="inlineStr">
        <is>
          <t>MDP RH 12X2440X3280</t>
        </is>
      </c>
      <c r="E266" s="3" t="inlineStr">
        <is>
          <t>PLAC0004</t>
        </is>
      </c>
      <c r="F266" s="3" t="inlineStr">
        <is>
          <t>UN</t>
        </is>
      </c>
      <c r="G266" s="4" t="n">
        <v>0.09</v>
      </c>
      <c r="H266" s="5" t="n">
        <v>31884.23</v>
      </c>
      <c r="I266" s="6">
        <f>IF(OR(G266="",H266=""),"",G266*H266)</f>
        <v/>
      </c>
    </row>
    <row r="267">
      <c r="A267" s="2" t="inlineStr">
        <is>
          <t>Endolados de Ventanas</t>
        </is>
      </c>
      <c r="B267" s="3" t="inlineStr">
        <is>
          <t>3.5. MOLDURAS SOBREPUESTAS</t>
        </is>
      </c>
      <c r="C267" s="3" t="inlineStr">
        <is>
          <t>General</t>
        </is>
      </c>
      <c r="D267" s="3" t="inlineStr">
        <is>
          <t>TORNILLO VOLC/MAD P/AGUDA CINCADO 6x1. 1/4 in</t>
        </is>
      </c>
      <c r="E267" s="3" t="inlineStr">
        <is>
          <t>FIJA0312</t>
        </is>
      </c>
      <c r="F267" s="3" t="inlineStr">
        <is>
          <t>UN</t>
        </is>
      </c>
      <c r="G267" s="4" t="n">
        <v>100</v>
      </c>
      <c r="H267" s="5" t="n">
        <v>6.74</v>
      </c>
      <c r="I267" s="6">
        <f>IF(OR(G267="",H267=""),"",G267*H267)</f>
        <v/>
      </c>
    </row>
    <row r="268">
      <c r="A268" s="2" t="inlineStr">
        <is>
          <t>Endolados de Ventanas</t>
        </is>
      </c>
      <c r="B268" s="3" t="inlineStr">
        <is>
          <t>3.5. MOLDURAS SOBREPUESTAS</t>
        </is>
      </c>
      <c r="C268" s="3" t="inlineStr">
        <is>
          <t>General</t>
        </is>
      </c>
      <c r="D268" s="3" t="inlineStr">
        <is>
          <t>PUTTY W.B. FACE 264 SA/HEMLOCK</t>
        </is>
      </c>
      <c r="E268" s="3" t="inlineStr">
        <is>
          <t>REVT0255</t>
        </is>
      </c>
      <c r="F268" s="3" t="inlineStr">
        <is>
          <t>TINETA</t>
        </is>
      </c>
      <c r="G268" s="4" t="n">
        <v>0.001</v>
      </c>
      <c r="H268" s="5" t="n">
        <v>66480.09</v>
      </c>
      <c r="I268" s="6">
        <f>IF(OR(G268="",H268=""),"",G268*H268)</f>
        <v/>
      </c>
    </row>
    <row r="269">
      <c r="A269" t="inlineStr"/>
      <c r="B269" t="inlineStr"/>
      <c r="C269" t="inlineStr"/>
      <c r="D269" s="7" t="inlineStr">
        <is>
          <t>Subtotal Endolados de Ventanas</t>
        </is>
      </c>
      <c r="E269" t="inlineStr"/>
      <c r="F269" t="inlineStr"/>
      <c r="G269" t="inlineStr"/>
      <c r="H269" t="inlineStr"/>
      <c r="I269" s="8">
        <f>SUM(I266:I268)</f>
        <v/>
      </c>
    </row>
    <row r="270">
      <c r="A270" s="2" t="inlineStr">
        <is>
          <t>Guardapolvos de MDP</t>
        </is>
      </c>
      <c r="B270" s="3" t="inlineStr">
        <is>
          <t>3.5. MOLDURAS SOBREPUESTAS</t>
        </is>
      </c>
      <c r="C270" s="3" t="inlineStr">
        <is>
          <t>General</t>
        </is>
      </c>
      <c r="D270" s="3" t="inlineStr">
        <is>
          <t>MDP RH 12X2440X3280</t>
        </is>
      </c>
      <c r="E270" s="3" t="inlineStr">
        <is>
          <t>PLAC0004</t>
        </is>
      </c>
      <c r="F270" s="3" t="inlineStr">
        <is>
          <t>UN</t>
        </is>
      </c>
      <c r="G270" s="4" t="n">
        <v>0.76</v>
      </c>
      <c r="H270" s="5" t="n">
        <v>31884.23</v>
      </c>
      <c r="I270" s="6">
        <f>IF(OR(G270="",H270=""),"",G270*H270)</f>
        <v/>
      </c>
    </row>
    <row r="271">
      <c r="A271" s="2" t="inlineStr">
        <is>
          <t>Guardapolvos de MDP</t>
        </is>
      </c>
      <c r="B271" s="3" t="inlineStr">
        <is>
          <t>3.5. MOLDURAS SOBREPUESTAS</t>
        </is>
      </c>
      <c r="C271" s="3" t="inlineStr">
        <is>
          <t>General</t>
        </is>
      </c>
      <c r="D271" s="3" t="inlineStr">
        <is>
          <t>PUNTA F-12/50mm x 5000un</t>
        </is>
      </c>
      <c r="E271" s="3" t="inlineStr">
        <is>
          <t>FIJA0324</t>
        </is>
      </c>
      <c r="F271" s="3" t="inlineStr">
        <is>
          <t>CAJA</t>
        </is>
      </c>
      <c r="G271" s="4" t="n">
        <v>0.04</v>
      </c>
      <c r="H271" s="5" t="n">
        <v>2953.01</v>
      </c>
      <c r="I271" s="6">
        <f>IF(OR(G271="",H271=""),"",G271*H271)</f>
        <v/>
      </c>
    </row>
    <row r="272">
      <c r="A272" s="2" t="inlineStr">
        <is>
          <t>Guardapolvos de MDP</t>
        </is>
      </c>
      <c r="B272" s="3" t="inlineStr">
        <is>
          <t>3.5. MOLDURAS SOBREPUESTAS</t>
        </is>
      </c>
      <c r="C272" s="3" t="inlineStr">
        <is>
          <t>General</t>
        </is>
      </c>
      <c r="D272" s="3" t="inlineStr">
        <is>
          <t>PUTTY W.B. FACE 264 SA/HEMLOCK</t>
        </is>
      </c>
      <c r="E272" s="3" t="inlineStr">
        <is>
          <t>REVT0255</t>
        </is>
      </c>
      <c r="F272" s="3" t="inlineStr">
        <is>
          <t>TINETA</t>
        </is>
      </c>
      <c r="G272" s="4" t="n">
        <v>0.001</v>
      </c>
      <c r="H272" s="5" t="n">
        <v>66480.09</v>
      </c>
      <c r="I272" s="6">
        <f>IF(OR(G272="",H272=""),"",G272*H272)</f>
        <v/>
      </c>
    </row>
    <row r="273">
      <c r="A273" t="inlineStr"/>
      <c r="B273" t="inlineStr"/>
      <c r="C273" t="inlineStr"/>
      <c r="D273" s="7" t="inlineStr">
        <is>
          <t>Subtotal Guardapolvos de MDP</t>
        </is>
      </c>
      <c r="E273" t="inlineStr"/>
      <c r="F273" t="inlineStr"/>
      <c r="G273" t="inlineStr"/>
      <c r="H273" t="inlineStr"/>
      <c r="I273" s="8">
        <f>SUM(I270:I272)</f>
        <v/>
      </c>
    </row>
    <row r="274">
      <c r="A274" s="2" t="inlineStr">
        <is>
          <t>Nariz de Grada de Aluminio</t>
        </is>
      </c>
      <c r="B274" s="3" t="inlineStr">
        <is>
          <t>3.5. MOLDURAS SOBREPUESTAS</t>
        </is>
      </c>
      <c r="C274" s="3" t="inlineStr">
        <is>
          <t>General</t>
        </is>
      </c>
      <c r="D274" s="3" t="inlineStr">
        <is>
          <t>PROTECCIÓN GRADA ALUMINIO MATE 6ML</t>
        </is>
      </c>
      <c r="E274" s="3" t="inlineStr">
        <is>
          <t>VARI0144</t>
        </is>
      </c>
      <c r="F274" s="3" t="inlineStr">
        <is>
          <t>UN</t>
        </is>
      </c>
      <c r="G274" s="4" t="n">
        <v>0.14</v>
      </c>
      <c r="H274" s="5" t="n">
        <v>13183.59</v>
      </c>
      <c r="I274" s="6">
        <f>IF(OR(G274="",H274=""),"",G274*H274)</f>
        <v/>
      </c>
    </row>
    <row r="275">
      <c r="A275" s="2" t="inlineStr">
        <is>
          <t>Nariz de Grada de Aluminio</t>
        </is>
      </c>
      <c r="B275" s="3" t="inlineStr">
        <is>
          <t>3.5. MOLDURAS SOBREPUESTAS</t>
        </is>
      </c>
      <c r="C275" s="3" t="inlineStr">
        <is>
          <t>General</t>
        </is>
      </c>
      <c r="D275" s="3" t="inlineStr">
        <is>
          <t>ANGULO ALUMINIO 20 X 20 MATE</t>
        </is>
      </c>
      <c r="E275" s="3" t="inlineStr">
        <is>
          <t>ESQI0031</t>
        </is>
      </c>
      <c r="F275" s="3" t="inlineStr">
        <is>
          <t>UN</t>
        </is>
      </c>
      <c r="G275" s="4" t="n">
        <v>0.14</v>
      </c>
      <c r="H275" s="5" t="n">
        <v>3977</v>
      </c>
      <c r="I275" s="6">
        <f>IF(OR(G275="",H275=""),"",G275*H275)</f>
        <v/>
      </c>
    </row>
    <row r="276">
      <c r="A276" t="inlineStr"/>
      <c r="B276" t="inlineStr"/>
      <c r="C276" t="inlineStr"/>
      <c r="D276" s="7" t="inlineStr">
        <is>
          <t>Subtotal Nariz de Grada de Aluminio</t>
        </is>
      </c>
      <c r="E276" t="inlineStr"/>
      <c r="F276" t="inlineStr"/>
      <c r="G276" t="inlineStr"/>
      <c r="H276" t="inlineStr"/>
      <c r="I276" s="8">
        <f>SUM(I274:I275)</f>
        <v/>
      </c>
    </row>
    <row r="277">
      <c r="A277" s="2" t="inlineStr">
        <is>
          <t>Pilastras</t>
        </is>
      </c>
      <c r="B277" s="3" t="inlineStr">
        <is>
          <t>3.5. MOLDURAS SOBREPUESTAS</t>
        </is>
      </c>
      <c r="C277" s="3" t="inlineStr">
        <is>
          <t>General</t>
        </is>
      </c>
      <c r="D277" s="3" t="inlineStr">
        <is>
          <t>GUARDAPOLVO CHAFLAN 45MM LARGO 2,4</t>
        </is>
      </c>
      <c r="E277" s="3" t="inlineStr">
        <is>
          <t>MODU0033</t>
        </is>
      </c>
      <c r="F277" s="3" t="inlineStr">
        <is>
          <t>UN</t>
        </is>
      </c>
      <c r="G277" s="4" t="n">
        <v>20</v>
      </c>
      <c r="H277" s="5" t="n">
        <v>1200</v>
      </c>
      <c r="I277" s="6">
        <f>IF(OR(G277="",H277=""),"",G277*H277)</f>
        <v/>
      </c>
    </row>
    <row r="278">
      <c r="A278" s="2" t="inlineStr">
        <is>
          <t>Pilastras</t>
        </is>
      </c>
      <c r="B278" s="3" t="inlineStr">
        <is>
          <t>3.5. MOLDURAS SOBREPUESTAS</t>
        </is>
      </c>
      <c r="C278" s="3" t="inlineStr">
        <is>
          <t>General</t>
        </is>
      </c>
      <c r="D278" s="3" t="inlineStr">
        <is>
          <t>PUNTA F-12/50mm x 5000un</t>
        </is>
      </c>
      <c r="E278" s="3" t="inlineStr">
        <is>
          <t>FIJA0324</t>
        </is>
      </c>
      <c r="F278" s="3" t="inlineStr">
        <is>
          <t>CAJA</t>
        </is>
      </c>
      <c r="G278" s="4" t="n">
        <v>0.06</v>
      </c>
      <c r="H278" s="5" t="n">
        <v>2953.01</v>
      </c>
      <c r="I278" s="6">
        <f>IF(OR(G278="",H278=""),"",G278*H278)</f>
        <v/>
      </c>
    </row>
    <row r="279">
      <c r="A279" t="inlineStr"/>
      <c r="B279" t="inlineStr"/>
      <c r="C279" t="inlineStr"/>
      <c r="D279" s="7" t="inlineStr">
        <is>
          <t>Subtotal Pilastras</t>
        </is>
      </c>
      <c r="E279" t="inlineStr"/>
      <c r="F279" t="inlineStr"/>
      <c r="G279" t="inlineStr"/>
      <c r="H279" t="inlineStr"/>
      <c r="I279" s="8">
        <f>SUM(I277:I278)</f>
        <v/>
      </c>
    </row>
    <row r="280">
      <c r="A280" s="2" t="inlineStr">
        <is>
          <t>Accesorios de Baño</t>
        </is>
      </c>
      <c r="B280" s="3" t="inlineStr">
        <is>
          <t>4.1. ACCESORIOS SANITARIOS</t>
        </is>
      </c>
      <c r="C280" s="3" t="inlineStr">
        <is>
          <t>General</t>
        </is>
      </c>
      <c r="D280" s="3" t="inlineStr">
        <is>
          <t>BARRA BAÑO EXTENSIBLE 90-160 BLANCO</t>
        </is>
      </c>
      <c r="E280" s="3" t="inlineStr">
        <is>
          <t>ARBA0149</t>
        </is>
      </c>
      <c r="F280" s="3" t="inlineStr">
        <is>
          <t>UN</t>
        </is>
      </c>
      <c r="G280" s="4" t="n">
        <v>1</v>
      </c>
      <c r="H280" s="5" t="n">
        <v>6702.04</v>
      </c>
      <c r="I280" s="6">
        <f>IF(OR(G280="",H280=""),"",G280*H280)</f>
        <v/>
      </c>
    </row>
    <row r="281">
      <c r="A281" s="2" t="inlineStr">
        <is>
          <t>Accesorios de Baño</t>
        </is>
      </c>
      <c r="B281" s="3" t="inlineStr">
        <is>
          <t>4.1. ACCESORIOS SANITARIOS</t>
        </is>
      </c>
      <c r="C281" s="3" t="inlineStr">
        <is>
          <t>General</t>
        </is>
      </c>
      <c r="D281" s="3" t="inlineStr">
        <is>
          <t>LLAVE LAVADORA ANGULAR 1/2 X 3/4 ACQUAMIX</t>
        </is>
      </c>
      <c r="E281" s="3" t="inlineStr">
        <is>
          <t>ARBA0236</t>
        </is>
      </c>
      <c r="F281" s="3" t="inlineStr">
        <is>
          <t>UN</t>
        </is>
      </c>
      <c r="G281" s="4" t="n">
        <v>2</v>
      </c>
      <c r="H281" s="5" t="n">
        <v>2485.89</v>
      </c>
      <c r="I281" s="6">
        <f>IF(OR(G281="",H281=""),"",G281*H281)</f>
        <v/>
      </c>
    </row>
    <row r="282">
      <c r="A282" t="inlineStr"/>
      <c r="B282" t="inlineStr"/>
      <c r="C282" t="inlineStr"/>
      <c r="D282" s="7" t="inlineStr">
        <is>
          <t>Subtotal Accesorios de Baño</t>
        </is>
      </c>
      <c r="E282" t="inlineStr"/>
      <c r="F282" t="inlineStr"/>
      <c r="G282" t="inlineStr"/>
      <c r="H282" t="inlineStr"/>
      <c r="I282" s="8">
        <f>SUM(I280:I281)</f>
        <v/>
      </c>
    </row>
    <row r="283">
      <c r="A283" s="2" t="inlineStr">
        <is>
          <t>Inodoro Blanco descarga a muro</t>
        </is>
      </c>
      <c r="B283" s="3" t="inlineStr">
        <is>
          <t>4.2. ARTEFACTOS DE BAÑOS</t>
        </is>
      </c>
      <c r="C283" s="3" t="inlineStr">
        <is>
          <t>General</t>
        </is>
      </c>
      <c r="D283" s="3" t="inlineStr">
        <is>
          <t>JUEGO 2P WC CADIZ C/ASTO SOFT CLOSE</t>
        </is>
      </c>
      <c r="E283" s="3" t="inlineStr">
        <is>
          <t>ARBA0193</t>
        </is>
      </c>
      <c r="F283" s="3" t="inlineStr">
        <is>
          <t>UN</t>
        </is>
      </c>
      <c r="G283" s="4" t="n">
        <v>1</v>
      </c>
      <c r="H283" s="5" t="n">
        <v>68590</v>
      </c>
      <c r="I283" s="6">
        <f>IF(OR(G283="",H283=""),"",G283*H283)</f>
        <v/>
      </c>
    </row>
    <row r="284">
      <c r="A284" s="2" t="inlineStr">
        <is>
          <t>Inodoro Blanco descarga a muro</t>
        </is>
      </c>
      <c r="B284" s="3" t="inlineStr">
        <is>
          <t>4.2. ARTEFACTOS DE BAÑOS</t>
        </is>
      </c>
      <c r="C284" s="3" t="inlineStr">
        <is>
          <t>General</t>
        </is>
      </c>
      <c r="D284" s="3" t="inlineStr">
        <is>
          <t>TUBO DE CONEXIÓN WC AL MURO</t>
        </is>
      </c>
      <c r="E284" s="3" t="inlineStr">
        <is>
          <t>ARBA0196</t>
        </is>
      </c>
      <c r="F284" s="3" t="inlineStr">
        <is>
          <t>UN</t>
        </is>
      </c>
      <c r="G284" s="4" t="n">
        <v>1</v>
      </c>
      <c r="H284" s="5" t="n">
        <v>6225.19</v>
      </c>
      <c r="I284" s="6">
        <f>IF(OR(G284="",H284=""),"",G284*H284)</f>
        <v/>
      </c>
    </row>
    <row r="285">
      <c r="A285" s="2" t="inlineStr">
        <is>
          <t>Inodoro Blanco descarga a muro</t>
        </is>
      </c>
      <c r="B285" s="3" t="inlineStr">
        <is>
          <t>4.2. ARTEFACTOS DE BAÑOS</t>
        </is>
      </c>
      <c r="C285" s="3" t="inlineStr">
        <is>
          <t>General</t>
        </is>
      </c>
      <c r="D285" s="3" t="inlineStr">
        <is>
          <t>SET LLAVE ANG 1/2HI X 15/16HI 30 CM UN</t>
        </is>
      </c>
      <c r="E285" s="3" t="inlineStr">
        <is>
          <t>AGPO0031</t>
        </is>
      </c>
      <c r="F285" s="3" t="inlineStr">
        <is>
          <t>UN</t>
        </is>
      </c>
      <c r="G285" s="4" t="n">
        <v>1</v>
      </c>
      <c r="H285" s="5" t="n">
        <v>4190</v>
      </c>
      <c r="I285" s="6">
        <f>IF(OR(G285="",H285=""),"",G285*H285)</f>
        <v/>
      </c>
    </row>
    <row r="286">
      <c r="A286" t="inlineStr"/>
      <c r="B286" t="inlineStr"/>
      <c r="C286" t="inlineStr"/>
      <c r="D286" s="7" t="inlineStr">
        <is>
          <t>Subtotal Inodoro Blanco descarga a muro</t>
        </is>
      </c>
      <c r="E286" t="inlineStr"/>
      <c r="F286" t="inlineStr"/>
      <c r="G286" t="inlineStr"/>
      <c r="H286" t="inlineStr"/>
      <c r="I286" s="8">
        <f>SUM(I283:I285)</f>
        <v/>
      </c>
    </row>
    <row r="287">
      <c r="A287" s="2" t="inlineStr">
        <is>
          <t>Lavamanos Caburgua Fanaloza</t>
        </is>
      </c>
      <c r="B287" s="3" t="inlineStr">
        <is>
          <t>4.2. ARTEFACTOS DE BAÑOS</t>
        </is>
      </c>
      <c r="C287" s="3" t="inlineStr">
        <is>
          <t>General</t>
        </is>
      </c>
      <c r="D287" s="3" t="inlineStr">
        <is>
          <t>LAVAMANOS BLANCO CABURGUA</t>
        </is>
      </c>
      <c r="E287" s="3" t="inlineStr">
        <is>
          <t>ARBA0215</t>
        </is>
      </c>
      <c r="F287" s="3" t="inlineStr">
        <is>
          <t>UN</t>
        </is>
      </c>
      <c r="G287" s="4" t="n">
        <v>1</v>
      </c>
      <c r="H287" s="5" t="n">
        <v>14976.62</v>
      </c>
      <c r="I287" s="6">
        <f>IF(OR(G287="",H287=""),"",G287*H287)</f>
        <v/>
      </c>
    </row>
    <row r="288">
      <c r="A288" s="2" t="inlineStr">
        <is>
          <t>Lavamanos Caburgua Fanaloza</t>
        </is>
      </c>
      <c r="B288" s="3" t="inlineStr">
        <is>
          <t>4.2. ARTEFACTOS DE BAÑOS</t>
        </is>
      </c>
      <c r="C288" s="3" t="inlineStr">
        <is>
          <t>General</t>
        </is>
      </c>
      <c r="D288" s="3" t="inlineStr">
        <is>
          <t>PEDESTAL UNIVERSAL CABURGUA BLANCO</t>
        </is>
      </c>
      <c r="E288" s="3" t="inlineStr">
        <is>
          <t>ARBA0216</t>
        </is>
      </c>
      <c r="F288" s="3" t="inlineStr">
        <is>
          <t>UN</t>
        </is>
      </c>
      <c r="G288" s="4" t="n">
        <v>1</v>
      </c>
      <c r="H288" s="5" t="n">
        <v>9346.139999999999</v>
      </c>
      <c r="I288" s="6">
        <f>IF(OR(G288="",H288=""),"",G288*H288)</f>
        <v/>
      </c>
    </row>
    <row r="289">
      <c r="A289" s="2" t="inlineStr">
        <is>
          <t>Lavamanos Caburgua Fanaloza</t>
        </is>
      </c>
      <c r="B289" s="3" t="inlineStr">
        <is>
          <t>4.2. ARTEFACTOS DE BAÑOS</t>
        </is>
      </c>
      <c r="C289" s="3" t="inlineStr">
        <is>
          <t>General</t>
        </is>
      </c>
      <c r="D289" s="3" t="inlineStr">
        <is>
          <t>KIT INSTALACION LAVAMANOS STANDARD</t>
        </is>
      </c>
      <c r="E289" s="3" t="inlineStr">
        <is>
          <t>ARBA0037</t>
        </is>
      </c>
      <c r="F289" s="3" t="inlineStr">
        <is>
          <t>UN</t>
        </is>
      </c>
      <c r="G289" s="4" t="n">
        <v>1</v>
      </c>
      <c r="H289" s="5" t="n">
        <v>6164.03</v>
      </c>
      <c r="I289" s="6">
        <f>IF(OR(G289="",H289=""),"",G289*H289)</f>
        <v/>
      </c>
    </row>
    <row r="290">
      <c r="A290" s="2" t="inlineStr">
        <is>
          <t>Lavamanos Caburgua Fanaloza</t>
        </is>
      </c>
      <c r="B290" s="3" t="inlineStr">
        <is>
          <t>4.2. ARTEFACTOS DE BAÑOS</t>
        </is>
      </c>
      <c r="C290" s="3" t="inlineStr">
        <is>
          <t>General</t>
        </is>
      </c>
      <c r="D290" s="3" t="inlineStr">
        <is>
          <t>MONOMANDO LAVAMANOS PRONTO</t>
        </is>
      </c>
      <c r="E290" s="3" t="inlineStr">
        <is>
          <t>ARBA0218</t>
        </is>
      </c>
      <c r="F290" s="3" t="inlineStr">
        <is>
          <t>UN</t>
        </is>
      </c>
      <c r="G290" s="4" t="n">
        <v>1</v>
      </c>
      <c r="H290" s="5" t="n">
        <v>8890.82</v>
      </c>
      <c r="I290" s="6">
        <f>IF(OR(G290="",H290=""),"",G290*H290)</f>
        <v/>
      </c>
    </row>
    <row r="291">
      <c r="A291" s="2" t="inlineStr">
        <is>
          <t>Lavamanos Caburgua Fanaloza</t>
        </is>
      </c>
      <c r="B291" s="3" t="inlineStr">
        <is>
          <t>4.2. ARTEFACTOS DE BAÑOS</t>
        </is>
      </c>
      <c r="C291" s="3" t="inlineStr">
        <is>
          <t>General</t>
        </is>
      </c>
      <c r="D291" s="3" t="inlineStr">
        <is>
          <t>CAPUCHON GOMA SANITARIO 050X040</t>
        </is>
      </c>
      <c r="E291" s="3" t="inlineStr">
        <is>
          <t>ALCN0113</t>
        </is>
      </c>
      <c r="F291" s="3" t="inlineStr">
        <is>
          <t>UN</t>
        </is>
      </c>
      <c r="G291" s="4" t="n">
        <v>1</v>
      </c>
      <c r="H291" s="5" t="n">
        <v>450.05</v>
      </c>
      <c r="I291" s="6">
        <f>IF(OR(G291="",H291=""),"",G291*H291)</f>
        <v/>
      </c>
    </row>
    <row r="292">
      <c r="A292" s="2" t="inlineStr">
        <is>
          <t>Lavamanos Caburgua Fanaloza</t>
        </is>
      </c>
      <c r="B292" s="3" t="inlineStr">
        <is>
          <t>4.2. ARTEFACTOS DE BAÑOS</t>
        </is>
      </c>
      <c r="C292" s="3" t="inlineStr">
        <is>
          <t>General</t>
        </is>
      </c>
      <c r="D292" s="3" t="inlineStr">
        <is>
          <t>VALVULA DE VENTEO MINI VENT DN32-50      9067906</t>
        </is>
      </c>
      <c r="E292" s="3" t="inlineStr">
        <is>
          <t>ALCN0124</t>
        </is>
      </c>
      <c r="F292" s="3" t="inlineStr">
        <is>
          <t>UN</t>
        </is>
      </c>
      <c r="G292" s="4" t="n">
        <v>1</v>
      </c>
      <c r="H292" s="5" t="n">
        <v>13008.14</v>
      </c>
      <c r="I292" s="6">
        <f>IF(OR(G292="",H292=""),"",G292*H292)</f>
        <v/>
      </c>
    </row>
    <row r="293">
      <c r="A293" t="inlineStr"/>
      <c r="B293" t="inlineStr"/>
      <c r="C293" t="inlineStr"/>
      <c r="D293" s="7" t="inlineStr">
        <is>
          <t>Subtotal Lavamanos Caburgua Fanaloza</t>
        </is>
      </c>
      <c r="E293" t="inlineStr"/>
      <c r="F293" t="inlineStr"/>
      <c r="G293" t="inlineStr"/>
      <c r="H293" t="inlineStr"/>
      <c r="I293" s="8">
        <f>SUM(I287:I292)</f>
        <v/>
      </c>
    </row>
    <row r="294">
      <c r="A294" s="2" t="inlineStr">
        <is>
          <t>Tina Acero Esmaltado Blanco</t>
        </is>
      </c>
      <c r="B294" s="3" t="inlineStr">
        <is>
          <t>4.2. ARTEFACTOS DE BAÑOS</t>
        </is>
      </c>
      <c r="C294" s="3" t="inlineStr">
        <is>
          <t>General</t>
        </is>
      </c>
      <c r="D294" s="3" t="inlineStr">
        <is>
          <t>TINA BAÑO 1200x0700x360 BLANCA</t>
        </is>
      </c>
      <c r="E294" s="3" t="inlineStr">
        <is>
          <t>ARBA0107</t>
        </is>
      </c>
      <c r="F294" s="3" t="inlineStr">
        <is>
          <t>UN</t>
        </is>
      </c>
      <c r="G294" s="4" t="n">
        <v>1</v>
      </c>
      <c r="H294" s="5" t="n">
        <v>50041.4</v>
      </c>
      <c r="I294" s="6">
        <f>IF(OR(G294="",H294=""),"",G294*H294)</f>
        <v/>
      </c>
    </row>
    <row r="295">
      <c r="A295" s="2" t="inlineStr">
        <is>
          <t>Tina Acero Esmaltado Blanco</t>
        </is>
      </c>
      <c r="B295" s="3" t="inlineStr">
        <is>
          <t>4.2. ARTEFACTOS DE BAÑOS</t>
        </is>
      </c>
      <c r="C295" s="3" t="inlineStr">
        <is>
          <t>General</t>
        </is>
      </c>
      <c r="D295" s="3" t="inlineStr">
        <is>
          <t>BURLETE TERMINACIÓN P/PLATO DUCHA 3MTS</t>
        </is>
      </c>
      <c r="E295" s="3" t="inlineStr">
        <is>
          <t>ARBA0011</t>
        </is>
      </c>
      <c r="F295" s="3" t="inlineStr">
        <is>
          <t>UN</t>
        </is>
      </c>
      <c r="G295" s="4" t="n">
        <v>1</v>
      </c>
      <c r="H295" s="5" t="n">
        <v>2851.01</v>
      </c>
      <c r="I295" s="6">
        <f>IF(OR(G295="",H295=""),"",G295*H295)</f>
        <v/>
      </c>
    </row>
    <row r="296">
      <c r="A296" s="2" t="inlineStr">
        <is>
          <t>Tina Acero Esmaltado Blanco</t>
        </is>
      </c>
      <c r="B296" s="3" t="inlineStr">
        <is>
          <t>4.2. ARTEFACTOS DE BAÑOS</t>
        </is>
      </c>
      <c r="C296" s="3" t="inlineStr">
        <is>
          <t>General</t>
        </is>
      </c>
      <c r="D296" s="3" t="inlineStr">
        <is>
          <t>DESAGUE PLASTICO TINA C/REBALSE C/SIFON HOFFENS</t>
        </is>
      </c>
      <c r="E296" s="3" t="inlineStr">
        <is>
          <t>ARBA0019</t>
        </is>
      </c>
      <c r="F296" s="3" t="inlineStr">
        <is>
          <t>UN</t>
        </is>
      </c>
      <c r="G296" s="4" t="n">
        <v>1</v>
      </c>
      <c r="H296" s="5" t="n">
        <v>6500</v>
      </c>
      <c r="I296" s="6">
        <f>IF(OR(G296="",H296=""),"",G296*H296)</f>
        <v/>
      </c>
    </row>
    <row r="297">
      <c r="A297" s="2" t="inlineStr">
        <is>
          <t>Tina Acero Esmaltado Blanco</t>
        </is>
      </c>
      <c r="B297" s="3" t="inlineStr">
        <is>
          <t>4.2. ARTEFACTOS DE BAÑOS</t>
        </is>
      </c>
      <c r="C297" s="3" t="inlineStr">
        <is>
          <t>General</t>
        </is>
      </c>
      <c r="D297" s="3" t="inlineStr">
        <is>
          <t>MONOMANDO DUCHA TINA PRONTO</t>
        </is>
      </c>
      <c r="E297" s="3" t="inlineStr">
        <is>
          <t>ARBA0220</t>
        </is>
      </c>
      <c r="F297" s="3" t="inlineStr">
        <is>
          <t>UN</t>
        </is>
      </c>
      <c r="G297" s="4" t="n">
        <v>1</v>
      </c>
      <c r="H297" s="5" t="n">
        <v>16515.39</v>
      </c>
      <c r="I297" s="6">
        <f>IF(OR(G297="",H297=""),"",G297*H297)</f>
        <v/>
      </c>
    </row>
    <row r="298">
      <c r="A298" s="2" t="inlineStr">
        <is>
          <t>Tina Acero Esmaltado Blanco</t>
        </is>
      </c>
      <c r="B298" s="3" t="inlineStr">
        <is>
          <t>4.2. ARTEFACTOS DE BAÑOS</t>
        </is>
      </c>
      <c r="C298" s="3" t="inlineStr">
        <is>
          <t>General</t>
        </is>
      </c>
      <c r="D298" s="3" t="inlineStr">
        <is>
          <t>PIEZA BASE TINA 7227A 600X280X165MM 30KG/M3</t>
        </is>
      </c>
      <c r="E298" s="3" t="inlineStr">
        <is>
          <t>ARBA0062</t>
        </is>
      </c>
      <c r="F298" s="3" t="inlineStr">
        <is>
          <t>UN</t>
        </is>
      </c>
      <c r="G298" s="4" t="n">
        <v>2</v>
      </c>
      <c r="H298" s="5" t="n">
        <v>3700</v>
      </c>
      <c r="I298" s="6">
        <f>IF(OR(G298="",H298=""),"",G298*H298)</f>
        <v/>
      </c>
    </row>
    <row r="299">
      <c r="A299" s="2" t="inlineStr">
        <is>
          <t>Tina Acero Esmaltado Blanco</t>
        </is>
      </c>
      <c r="B299" s="3" t="inlineStr">
        <is>
          <t>4.2. ARTEFACTOS DE BAÑOS</t>
        </is>
      </c>
      <c r="C299" s="3" t="inlineStr">
        <is>
          <t>General</t>
        </is>
      </c>
      <c r="D299" s="3" t="inlineStr">
        <is>
          <t>TORNILLO VOLC/MAD CRS 8 X 3</t>
        </is>
      </c>
      <c r="E299" s="3" t="inlineStr">
        <is>
          <t>FIJA0145</t>
        </is>
      </c>
      <c r="F299" s="3" t="inlineStr">
        <is>
          <t>UN</t>
        </is>
      </c>
      <c r="G299" s="4" t="n">
        <v>50</v>
      </c>
      <c r="H299" s="5" t="n">
        <v>19</v>
      </c>
      <c r="I299" s="6">
        <f>IF(OR(G299="",H299=""),"",G299*H299)</f>
        <v/>
      </c>
    </row>
    <row r="300">
      <c r="A300" s="2" t="inlineStr">
        <is>
          <t>Tina Acero Esmaltado Blanco</t>
        </is>
      </c>
      <c r="B300" s="3" t="inlineStr">
        <is>
          <t>4.2. ARTEFACTOS DE BAÑOS</t>
        </is>
      </c>
      <c r="C300" s="3" t="inlineStr">
        <is>
          <t>General</t>
        </is>
      </c>
      <c r="D300" s="3" t="inlineStr">
        <is>
          <t>CELOSIA VENT. PLANA 023X023CM BLANCA</t>
        </is>
      </c>
      <c r="E300" s="3" t="inlineStr">
        <is>
          <t>VETI0017</t>
        </is>
      </c>
      <c r="F300" s="3" t="inlineStr">
        <is>
          <t>UN</t>
        </is>
      </c>
      <c r="G300" s="4" t="n">
        <v>1</v>
      </c>
      <c r="H300" s="5" t="n">
        <v>1399.98</v>
      </c>
      <c r="I300" s="6">
        <f>IF(OR(G300="",H300=""),"",G300*H300)</f>
        <v/>
      </c>
    </row>
    <row r="301">
      <c r="A301" t="inlineStr"/>
      <c r="B301" t="inlineStr"/>
      <c r="C301" t="inlineStr"/>
      <c r="D301" s="7" t="inlineStr">
        <is>
          <t>Subtotal Tina Acero Esmaltado Blanco</t>
        </is>
      </c>
      <c r="E301" t="inlineStr"/>
      <c r="F301" t="inlineStr"/>
      <c r="G301" t="inlineStr"/>
      <c r="H301" t="inlineStr"/>
      <c r="I301" s="8">
        <f>SUM(I294:I300)</f>
        <v/>
      </c>
    </row>
    <row r="302">
      <c r="A302" s="2" t="inlineStr">
        <is>
          <t xml:space="preserve">PVC Sanitario Blanco </t>
        </is>
      </c>
      <c r="B302" s="3" t="inlineStr">
        <is>
          <t>4.3. RED DE ALCANTARILLADO</t>
        </is>
      </c>
      <c r="C302" s="3" t="inlineStr">
        <is>
          <t>General</t>
        </is>
      </c>
      <c r="D302" s="3" t="inlineStr">
        <is>
          <t>CODO SANITARIO BLANCO 040X87,5° C/GOMA 2028809</t>
        </is>
      </c>
      <c r="E302" s="3" t="inlineStr">
        <is>
          <t>ALCN0020</t>
        </is>
      </c>
      <c r="F302" s="3" t="inlineStr">
        <is>
          <t>UN</t>
        </is>
      </c>
      <c r="G302" s="4" t="n">
        <v>1</v>
      </c>
      <c r="H302" s="5" t="n">
        <v>167</v>
      </c>
      <c r="I302" s="6">
        <f>IF(OR(G302="",H302=""),"",G302*H302)</f>
        <v/>
      </c>
    </row>
    <row r="303">
      <c r="A303" s="2" t="inlineStr">
        <is>
          <t xml:space="preserve">PVC Sanitario Blanco </t>
        </is>
      </c>
      <c r="B303" s="3" t="inlineStr">
        <is>
          <t>4.3. RED DE ALCANTARILLADO</t>
        </is>
      </c>
      <c r="C303" s="3" t="inlineStr">
        <is>
          <t>General</t>
        </is>
      </c>
      <c r="D303" s="3" t="inlineStr">
        <is>
          <t>CODO PVC SANITARIO 40 X 45° BLANCO 2028807</t>
        </is>
      </c>
      <c r="E303" s="3" t="inlineStr">
        <is>
          <t>ALCN0115</t>
        </is>
      </c>
      <c r="F303" s="3" t="inlineStr">
        <is>
          <t>UN</t>
        </is>
      </c>
      <c r="G303" s="4" t="n">
        <v>1</v>
      </c>
      <c r="H303" s="5" t="n">
        <v>373.67</v>
      </c>
      <c r="I303" s="6">
        <f>IF(OR(G303="",H303=""),"",G303*H303)</f>
        <v/>
      </c>
    </row>
    <row r="304">
      <c r="A304" s="2" t="inlineStr">
        <is>
          <t xml:space="preserve">PVC Sanitario Blanco </t>
        </is>
      </c>
      <c r="B304" s="3" t="inlineStr">
        <is>
          <t>4.3. RED DE ALCANTARILLADO</t>
        </is>
      </c>
      <c r="C304" s="3" t="inlineStr">
        <is>
          <t>General</t>
        </is>
      </c>
      <c r="D304" s="3" t="inlineStr">
        <is>
          <t>CODO SANITARIO BLANCO 050X87,5° 2028814</t>
        </is>
      </c>
      <c r="E304" s="3" t="inlineStr">
        <is>
          <t>ALCN0022</t>
        </is>
      </c>
      <c r="F304" s="3" t="inlineStr">
        <is>
          <t>UN</t>
        </is>
      </c>
      <c r="G304" s="4" t="n">
        <v>11</v>
      </c>
      <c r="H304" s="5" t="n">
        <v>291.42</v>
      </c>
      <c r="I304" s="6">
        <f>IF(OR(G304="",H304=""),"",G304*H304)</f>
        <v/>
      </c>
    </row>
    <row r="305">
      <c r="A305" s="2" t="inlineStr">
        <is>
          <t xml:space="preserve">PVC Sanitario Blanco </t>
        </is>
      </c>
      <c r="B305" s="3" t="inlineStr">
        <is>
          <t>4.3. RED DE ALCANTARILLADO</t>
        </is>
      </c>
      <c r="C305" s="3" t="inlineStr">
        <is>
          <t>General</t>
        </is>
      </c>
      <c r="D305" s="3" t="inlineStr">
        <is>
          <t>CODO SANITARIO BLANCO 075X87,5° 2028818</t>
        </is>
      </c>
      <c r="E305" s="3" t="inlineStr">
        <is>
          <t>ALCN0024</t>
        </is>
      </c>
      <c r="F305" s="3" t="inlineStr">
        <is>
          <t>UN</t>
        </is>
      </c>
      <c r="G305" s="4" t="n">
        <v>3</v>
      </c>
      <c r="H305" s="5" t="n">
        <v>516.86</v>
      </c>
      <c r="I305" s="6">
        <f>IF(OR(G305="",H305=""),"",G305*H305)</f>
        <v/>
      </c>
    </row>
    <row r="306">
      <c r="A306" s="2" t="inlineStr">
        <is>
          <t xml:space="preserve">PVC Sanitario Blanco </t>
        </is>
      </c>
      <c r="B306" s="3" t="inlineStr">
        <is>
          <t>4.3. RED DE ALCANTARILLADO</t>
        </is>
      </c>
      <c r="C306" s="3" t="inlineStr">
        <is>
          <t>General</t>
        </is>
      </c>
      <c r="D306" s="3" t="inlineStr">
        <is>
          <t>CODO SANITARIO BLANCO 110X45° 2028819</t>
        </is>
      </c>
      <c r="E306" s="3" t="inlineStr">
        <is>
          <t>ALCN0025</t>
        </is>
      </c>
      <c r="F306" s="3" t="inlineStr">
        <is>
          <t>UN</t>
        </is>
      </c>
      <c r="G306" s="4" t="n">
        <v>2</v>
      </c>
      <c r="H306" s="5" t="n">
        <v>784.26</v>
      </c>
      <c r="I306" s="6">
        <f>IF(OR(G306="",H306=""),"",G306*H306)</f>
        <v/>
      </c>
    </row>
    <row r="307">
      <c r="A307" s="2" t="inlineStr">
        <is>
          <t xml:space="preserve">PVC Sanitario Blanco </t>
        </is>
      </c>
      <c r="B307" s="3" t="inlineStr">
        <is>
          <t>4.3. RED DE ALCANTARILLADO</t>
        </is>
      </c>
      <c r="C307" s="3" t="inlineStr">
        <is>
          <t>General</t>
        </is>
      </c>
      <c r="D307" s="3" t="inlineStr">
        <is>
          <t>CODO SANITARIO BANCO REGISTRO C/G 110X87,5  (2028327)</t>
        </is>
      </c>
      <c r="E307" s="3" t="inlineStr">
        <is>
          <t>ALCN0144</t>
        </is>
      </c>
      <c r="F307" s="3" t="inlineStr">
        <is>
          <t>UN</t>
        </is>
      </c>
      <c r="G307" s="4" t="n">
        <v>1</v>
      </c>
      <c r="H307" s="5" t="n">
        <v>4901.49</v>
      </c>
      <c r="I307" s="6">
        <f>IF(OR(G307="",H307=""),"",G307*H307)</f>
        <v/>
      </c>
    </row>
    <row r="308">
      <c r="A308" s="2" t="inlineStr">
        <is>
          <t xml:space="preserve">PVC Sanitario Blanco </t>
        </is>
      </c>
      <c r="B308" s="3" t="inlineStr">
        <is>
          <t>4.3. RED DE ALCANTARILLADO</t>
        </is>
      </c>
      <c r="C308" s="3" t="inlineStr">
        <is>
          <t>General</t>
        </is>
      </c>
      <c r="D308" s="3" t="inlineStr">
        <is>
          <t>COPLA SANITARIO BLANCO 040MM</t>
        </is>
      </c>
      <c r="E308" s="3" t="inlineStr">
        <is>
          <t>ALCN0032</t>
        </is>
      </c>
      <c r="F308" s="3" t="inlineStr">
        <is>
          <t>UN</t>
        </is>
      </c>
      <c r="G308" s="4" t="n">
        <v>1</v>
      </c>
      <c r="H308" s="5" t="n">
        <v>460.23</v>
      </c>
      <c r="I308" s="6">
        <f>IF(OR(G308="",H308=""),"",G308*H308)</f>
        <v/>
      </c>
    </row>
    <row r="309">
      <c r="A309" s="2" t="inlineStr">
        <is>
          <t xml:space="preserve">PVC Sanitario Blanco </t>
        </is>
      </c>
      <c r="B309" s="3" t="inlineStr">
        <is>
          <t>4.3. RED DE ALCANTARILLADO</t>
        </is>
      </c>
      <c r="C309" s="3" t="inlineStr">
        <is>
          <t>General</t>
        </is>
      </c>
      <c r="D309" s="3" t="inlineStr">
        <is>
          <t>COPLA SANITARIO BLANCO 050MM 2028843</t>
        </is>
      </c>
      <c r="E309" s="3" t="inlineStr">
        <is>
          <t>ALCN0033</t>
        </is>
      </c>
      <c r="F309" s="3" t="inlineStr">
        <is>
          <t>UN</t>
        </is>
      </c>
      <c r="G309" s="4" t="n">
        <v>7</v>
      </c>
      <c r="H309" s="5" t="n">
        <v>1090.14</v>
      </c>
      <c r="I309" s="6">
        <f>IF(OR(G309="",H309=""),"",G309*H309)</f>
        <v/>
      </c>
    </row>
    <row r="310">
      <c r="A310" s="2" t="inlineStr">
        <is>
          <t xml:space="preserve">PVC Sanitario Blanco </t>
        </is>
      </c>
      <c r="B310" s="3" t="inlineStr">
        <is>
          <t>4.3. RED DE ALCANTARILLADO</t>
        </is>
      </c>
      <c r="C310" s="3" t="inlineStr">
        <is>
          <t>General</t>
        </is>
      </c>
      <c r="D310" s="3" t="inlineStr">
        <is>
          <t>COPLA SANITARIO BLANCO 075MM</t>
        </is>
      </c>
      <c r="E310" s="3" t="inlineStr">
        <is>
          <t>ALCN0034</t>
        </is>
      </c>
      <c r="F310" s="3" t="inlineStr">
        <is>
          <t>UN</t>
        </is>
      </c>
      <c r="G310" s="4" t="n">
        <v>3</v>
      </c>
      <c r="H310" s="5" t="n">
        <v>638.11</v>
      </c>
      <c r="I310" s="6">
        <f>IF(OR(G310="",H310=""),"",G310*H310)</f>
        <v/>
      </c>
    </row>
    <row r="311">
      <c r="A311" s="2" t="inlineStr">
        <is>
          <t xml:space="preserve">PVC Sanitario Blanco </t>
        </is>
      </c>
      <c r="B311" s="3" t="inlineStr">
        <is>
          <t>4.3. RED DE ALCANTARILLADO</t>
        </is>
      </c>
      <c r="C311" s="3" t="inlineStr">
        <is>
          <t>General</t>
        </is>
      </c>
      <c r="D311" s="3" t="inlineStr">
        <is>
          <t>COPLA SANITARIO BLANCO 110MM 2028847</t>
        </is>
      </c>
      <c r="E311" s="3" t="inlineStr">
        <is>
          <t>ALCN0098</t>
        </is>
      </c>
      <c r="F311" s="3" t="inlineStr">
        <is>
          <t>UN</t>
        </is>
      </c>
      <c r="G311" s="4" t="n">
        <v>3</v>
      </c>
      <c r="H311" s="5" t="n">
        <v>798.92</v>
      </c>
      <c r="I311" s="6">
        <f>IF(OR(G311="",H311=""),"",G311*H311)</f>
        <v/>
      </c>
    </row>
    <row r="312">
      <c r="A312" s="2" t="inlineStr">
        <is>
          <t xml:space="preserve">PVC Sanitario Blanco </t>
        </is>
      </c>
      <c r="B312" s="3" t="inlineStr">
        <is>
          <t>4.3. RED DE ALCANTARILLADO</t>
        </is>
      </c>
      <c r="C312" s="3" t="inlineStr">
        <is>
          <t>General</t>
        </is>
      </c>
      <c r="D312" s="3" t="inlineStr">
        <is>
          <t>REDUCCION SANITARIO BLANCO 050X040MM 2028950</t>
        </is>
      </c>
      <c r="E312" s="3" t="inlineStr">
        <is>
          <t>ALCN0099</t>
        </is>
      </c>
      <c r="F312" s="3" t="inlineStr">
        <is>
          <t>UN</t>
        </is>
      </c>
      <c r="G312" s="4" t="n">
        <v>2</v>
      </c>
      <c r="H312" s="5" t="n">
        <v>318.48</v>
      </c>
      <c r="I312" s="6">
        <f>IF(OR(G312="",H312=""),"",G312*H312)</f>
        <v/>
      </c>
    </row>
    <row r="313">
      <c r="A313" s="2" t="inlineStr">
        <is>
          <t xml:space="preserve">PVC Sanitario Blanco </t>
        </is>
      </c>
      <c r="B313" s="3" t="inlineStr">
        <is>
          <t>4.3. RED DE ALCANTARILLADO</t>
        </is>
      </c>
      <c r="C313" s="3" t="inlineStr">
        <is>
          <t>General</t>
        </is>
      </c>
      <c r="D313" s="3" t="inlineStr">
        <is>
          <t>REDUCCION SANITARIO BLANCO 110X050MM</t>
        </is>
      </c>
      <c r="E313" s="3" t="inlineStr">
        <is>
          <t>ALCN0100</t>
        </is>
      </c>
      <c r="F313" s="3" t="inlineStr">
        <is>
          <t>UN</t>
        </is>
      </c>
      <c r="G313" s="4" t="n">
        <v>1</v>
      </c>
      <c r="H313" s="5" t="n">
        <v>1067.59</v>
      </c>
      <c r="I313" s="6">
        <f>IF(OR(G313="",H313=""),"",G313*H313)</f>
        <v/>
      </c>
    </row>
    <row r="314">
      <c r="A314" s="2" t="inlineStr">
        <is>
          <t xml:space="preserve">PVC Sanitario Blanco </t>
        </is>
      </c>
      <c r="B314" s="3" t="inlineStr">
        <is>
          <t>4.3. RED DE ALCANTARILLADO</t>
        </is>
      </c>
      <c r="C314" s="3" t="inlineStr">
        <is>
          <t>General</t>
        </is>
      </c>
      <c r="D314" s="3" t="inlineStr">
        <is>
          <t>TEE SANITARIO BLANCO 050X050MM 2029079</t>
        </is>
      </c>
      <c r="E314" s="3" t="inlineStr">
        <is>
          <t>ALCN0104</t>
        </is>
      </c>
      <c r="F314" s="3" t="inlineStr">
        <is>
          <t>UN</t>
        </is>
      </c>
      <c r="G314" s="4" t="n">
        <v>1</v>
      </c>
      <c r="H314" s="5" t="n">
        <v>580.3099999999999</v>
      </c>
      <c r="I314" s="6">
        <f>IF(OR(G314="",H314=""),"",G314*H314)</f>
        <v/>
      </c>
    </row>
    <row r="315">
      <c r="A315" s="2" t="inlineStr">
        <is>
          <t xml:space="preserve">PVC Sanitario Blanco </t>
        </is>
      </c>
      <c r="B315" s="3" t="inlineStr">
        <is>
          <t>4.3. RED DE ALCANTARILLADO</t>
        </is>
      </c>
      <c r="C315" s="3" t="inlineStr">
        <is>
          <t>General</t>
        </is>
      </c>
      <c r="D315" s="3" t="inlineStr">
        <is>
          <t>TEE SANITARIO BLANCO 110MM 2029087</t>
        </is>
      </c>
      <c r="E315" s="3" t="inlineStr">
        <is>
          <t>ALCN0105</t>
        </is>
      </c>
      <c r="F315" s="3" t="inlineStr">
        <is>
          <t>UN</t>
        </is>
      </c>
      <c r="G315" s="4" t="n">
        <v>1</v>
      </c>
      <c r="H315" s="5" t="n">
        <v>1402.95</v>
      </c>
      <c r="I315" s="6">
        <f>IF(OR(G315="",H315=""),"",G315*H315)</f>
        <v/>
      </c>
    </row>
    <row r="316">
      <c r="A316" s="2" t="inlineStr">
        <is>
          <t xml:space="preserve">PVC Sanitario Blanco </t>
        </is>
      </c>
      <c r="B316" s="3" t="inlineStr">
        <is>
          <t>4.3. RED DE ALCANTARILLADO</t>
        </is>
      </c>
      <c r="C316" s="3" t="inlineStr">
        <is>
          <t>General</t>
        </is>
      </c>
      <c r="D316" s="3" t="inlineStr">
        <is>
          <t>TEE PVC SANIT. 110 X 50 MM BLANCO</t>
        </is>
      </c>
      <c r="E316" s="3" t="inlineStr">
        <is>
          <t>ALCN0069</t>
        </is>
      </c>
      <c r="F316" s="3" t="inlineStr">
        <is>
          <t>UN</t>
        </is>
      </c>
      <c r="G316" s="4" t="n">
        <v>3</v>
      </c>
      <c r="H316" s="5" t="n">
        <v>1444.17</v>
      </c>
      <c r="I316" s="6">
        <f>IF(OR(G316="",H316=""),"",G316*H316)</f>
        <v/>
      </c>
    </row>
    <row r="317">
      <c r="A317" s="2" t="inlineStr">
        <is>
          <t xml:space="preserve">PVC Sanitario Blanco </t>
        </is>
      </c>
      <c r="B317" s="3" t="inlineStr">
        <is>
          <t>4.3. RED DE ALCANTARILLADO</t>
        </is>
      </c>
      <c r="C317" s="3" t="inlineStr">
        <is>
          <t>General</t>
        </is>
      </c>
      <c r="D317" s="3" t="inlineStr">
        <is>
          <t>TEE SANITARIO BLANCO 110X075MM 2029093</t>
        </is>
      </c>
      <c r="E317" s="3" t="inlineStr">
        <is>
          <t>ALCN0107</t>
        </is>
      </c>
      <c r="F317" s="3" t="inlineStr">
        <is>
          <t>UN</t>
        </is>
      </c>
      <c r="G317" s="4" t="n">
        <v>1</v>
      </c>
      <c r="H317" s="5" t="n">
        <v>1160.73</v>
      </c>
      <c r="I317" s="6">
        <f>IF(OR(G317="",H317=""),"",G317*H317)</f>
        <v/>
      </c>
    </row>
    <row r="318">
      <c r="A318" s="2" t="inlineStr">
        <is>
          <t xml:space="preserve">PVC Sanitario Blanco </t>
        </is>
      </c>
      <c r="B318" s="3" t="inlineStr">
        <is>
          <t>4.3. RED DE ALCANTARILLADO</t>
        </is>
      </c>
      <c r="C318" s="3" t="inlineStr">
        <is>
          <t>General</t>
        </is>
      </c>
      <c r="D318" s="3" t="inlineStr">
        <is>
          <t>TEE REGISTRO SANITARIO BLANCO 110MM</t>
        </is>
      </c>
      <c r="E318" s="3" t="inlineStr">
        <is>
          <t>ALCN0077</t>
        </is>
      </c>
      <c r="F318" s="3" t="inlineStr">
        <is>
          <t>UN</t>
        </is>
      </c>
      <c r="G318" s="4" t="n">
        <v>1</v>
      </c>
      <c r="H318" s="5" t="n">
        <v>2033.3</v>
      </c>
      <c r="I318" s="6">
        <f>IF(OR(G318="",H318=""),"",G318*H318)</f>
        <v/>
      </c>
    </row>
    <row r="319">
      <c r="A319" s="2" t="inlineStr">
        <is>
          <t xml:space="preserve">PVC Sanitario Blanco </t>
        </is>
      </c>
      <c r="B319" s="3" t="inlineStr">
        <is>
          <t>4.3. RED DE ALCANTARILLADO</t>
        </is>
      </c>
      <c r="C319" s="3" t="inlineStr">
        <is>
          <t>General</t>
        </is>
      </c>
      <c r="D319" s="3" t="inlineStr">
        <is>
          <t>TUBERIA PVC SANITARIO 40 MM BLANCO *2036308*</t>
        </is>
      </c>
      <c r="E319" s="3" t="inlineStr">
        <is>
          <t>ALCN0122</t>
        </is>
      </c>
      <c r="F319" s="3" t="inlineStr">
        <is>
          <t>UN</t>
        </is>
      </c>
      <c r="G319" s="4" t="n">
        <v>0.033</v>
      </c>
      <c r="H319" s="5" t="n">
        <v>4433.19</v>
      </c>
      <c r="I319" s="6">
        <f>IF(OR(G319="",H319=""),"",G319*H319)</f>
        <v/>
      </c>
    </row>
    <row r="320">
      <c r="A320" s="2" t="inlineStr">
        <is>
          <t xml:space="preserve">PVC Sanitario Blanco </t>
        </is>
      </c>
      <c r="B320" s="3" t="inlineStr">
        <is>
          <t>4.3. RED DE ALCANTARILLADO</t>
        </is>
      </c>
      <c r="C320" s="3" t="inlineStr">
        <is>
          <t>General</t>
        </is>
      </c>
      <c r="D320" s="3" t="inlineStr">
        <is>
          <t>TUBERIA PVC SANITARIO 50 MM BLANCO 2036319*</t>
        </is>
      </c>
      <c r="E320" s="3" t="inlineStr">
        <is>
          <t>ALCN0087</t>
        </is>
      </c>
      <c r="F320" s="3" t="inlineStr">
        <is>
          <t>ML</t>
        </is>
      </c>
      <c r="G320" s="4" t="n">
        <v>2.51</v>
      </c>
      <c r="H320" s="5" t="n">
        <v>7157.16</v>
      </c>
      <c r="I320" s="6">
        <f>IF(OR(G320="",H320=""),"",G320*H320)</f>
        <v/>
      </c>
    </row>
    <row r="321">
      <c r="A321" s="2" t="inlineStr">
        <is>
          <t xml:space="preserve">PVC Sanitario Blanco </t>
        </is>
      </c>
      <c r="B321" s="3" t="inlineStr">
        <is>
          <t>4.3. RED DE ALCANTARILLADO</t>
        </is>
      </c>
      <c r="C321" s="3" t="inlineStr">
        <is>
          <t>General</t>
        </is>
      </c>
      <c r="D321" s="3" t="inlineStr">
        <is>
          <t>TUBERIA PVC SANITARIO 75 MM BLANCO 2036320*</t>
        </is>
      </c>
      <c r="E321" s="3" t="inlineStr">
        <is>
          <t>ALCN0088</t>
        </is>
      </c>
      <c r="F321" s="3" t="inlineStr">
        <is>
          <t>ML</t>
        </is>
      </c>
      <c r="G321" s="4" t="n">
        <v>6.42</v>
      </c>
      <c r="H321" s="5" t="n">
        <v>10071.11</v>
      </c>
      <c r="I321" s="6">
        <f>IF(OR(G321="",H321=""),"",G321*H321)</f>
        <v/>
      </c>
    </row>
    <row r="322">
      <c r="A322" s="2" t="inlineStr">
        <is>
          <t xml:space="preserve">PVC Sanitario Blanco </t>
        </is>
      </c>
      <c r="B322" s="3" t="inlineStr">
        <is>
          <t>4.3. RED DE ALCANTARILLADO</t>
        </is>
      </c>
      <c r="C322" s="3" t="inlineStr">
        <is>
          <t>General</t>
        </is>
      </c>
      <c r="D322" s="3" t="inlineStr">
        <is>
          <t>TUBERIA PVC SANITARIO 110 MM BLANCO 2036321*</t>
        </is>
      </c>
      <c r="E322" s="3" t="inlineStr">
        <is>
          <t>ALCN0086</t>
        </is>
      </c>
      <c r="F322" s="3" t="inlineStr">
        <is>
          <t>ML</t>
        </is>
      </c>
      <c r="G322" s="4" t="n">
        <v>0.95</v>
      </c>
      <c r="H322" s="5" t="n">
        <v>4154.57</v>
      </c>
      <c r="I322" s="6">
        <f>IF(OR(G322="",H322=""),"",G322*H322)</f>
        <v/>
      </c>
    </row>
    <row r="323">
      <c r="A323" s="2" t="inlineStr">
        <is>
          <t xml:space="preserve">PVC Sanitario Blanco </t>
        </is>
      </c>
      <c r="B323" s="3" t="inlineStr">
        <is>
          <t>4.3. RED DE ALCANTARILLADO</t>
        </is>
      </c>
      <c r="C323" s="3" t="inlineStr">
        <is>
          <t>General</t>
        </is>
      </c>
      <c r="D323" s="3" t="inlineStr">
        <is>
          <t>TAPA GORRO SANITARIO BLANCO 050MM</t>
        </is>
      </c>
      <c r="E323" s="3" t="inlineStr">
        <is>
          <t>ALCN0061</t>
        </is>
      </c>
      <c r="F323" s="3" t="inlineStr">
        <is>
          <t>UN</t>
        </is>
      </c>
      <c r="G323" s="4" t="n">
        <v>1</v>
      </c>
      <c r="H323" s="5" t="n">
        <v>40</v>
      </c>
      <c r="I323" s="6">
        <f>IF(OR(G323="",H323=""),"",G323*H323)</f>
        <v/>
      </c>
    </row>
    <row r="324">
      <c r="A324" s="2" t="inlineStr">
        <is>
          <t xml:space="preserve">PVC Sanitario Blanco </t>
        </is>
      </c>
      <c r="B324" s="3" t="inlineStr">
        <is>
          <t>4.3. RED DE ALCANTARILLADO</t>
        </is>
      </c>
      <c r="C324" s="3" t="inlineStr">
        <is>
          <t>General</t>
        </is>
      </c>
      <c r="D324" s="3" t="inlineStr">
        <is>
          <t>TORNILLO CAB/LENT PTA FINA 8 X 1/2 in</t>
        </is>
      </c>
      <c r="E324" s="3" t="inlineStr">
        <is>
          <t>FIJA0142</t>
        </is>
      </c>
      <c r="F324" s="3" t="inlineStr">
        <is>
          <t>UN</t>
        </is>
      </c>
      <c r="G324" s="4" t="n">
        <v>20</v>
      </c>
      <c r="H324" s="5" t="n">
        <v>6</v>
      </c>
      <c r="I324" s="6">
        <f>IF(OR(G324="",H324=""),"",G324*H324)</f>
        <v/>
      </c>
    </row>
    <row r="325">
      <c r="A325" s="2" t="inlineStr">
        <is>
          <t xml:space="preserve">PVC Sanitario Blanco </t>
        </is>
      </c>
      <c r="B325" s="3" t="inlineStr">
        <is>
          <t>4.3. RED DE ALCANTARILLADO</t>
        </is>
      </c>
      <c r="C325" s="3" t="inlineStr">
        <is>
          <t>General</t>
        </is>
      </c>
      <c r="D325" s="3" t="inlineStr">
        <is>
          <t>TORNILLO VOLC/MAD P/AGUDA CINCADO 6x1. 1/4 in</t>
        </is>
      </c>
      <c r="E325" s="3" t="inlineStr">
        <is>
          <t>FIJA0312</t>
        </is>
      </c>
      <c r="F325" s="3" t="inlineStr">
        <is>
          <t>UN</t>
        </is>
      </c>
      <c r="G325" s="4" t="n">
        <v>20</v>
      </c>
      <c r="H325" s="5" t="n">
        <v>6.74</v>
      </c>
      <c r="I325" s="6">
        <f>IF(OR(G325="",H325=""),"",G325*H325)</f>
        <v/>
      </c>
    </row>
    <row r="326">
      <c r="A326" s="2" t="inlineStr">
        <is>
          <t xml:space="preserve">PVC Sanitario Blanco </t>
        </is>
      </c>
      <c r="B326" s="3" t="inlineStr">
        <is>
          <t>4.3. RED DE ALCANTARILLADO</t>
        </is>
      </c>
      <c r="C326" s="3" t="inlineStr">
        <is>
          <t>General</t>
        </is>
      </c>
      <c r="D326" s="3" t="inlineStr">
        <is>
          <t>LUBRICANTE PVC 500GRS</t>
        </is>
      </c>
      <c r="E326" s="3" t="inlineStr">
        <is>
          <t>LUBR0002</t>
        </is>
      </c>
      <c r="F326" s="3" t="inlineStr">
        <is>
          <t>UN</t>
        </is>
      </c>
      <c r="G326" s="4" t="n">
        <v>0.2</v>
      </c>
      <c r="H326" s="5" t="n">
        <v>1778</v>
      </c>
      <c r="I326" s="6">
        <f>IF(OR(G326="",H326=""),"",G326*H326)</f>
        <v/>
      </c>
    </row>
    <row r="327">
      <c r="A327" s="2" t="inlineStr">
        <is>
          <t xml:space="preserve">PVC Sanitario Blanco </t>
        </is>
      </c>
      <c r="B327" s="3" t="inlineStr">
        <is>
          <t>4.3. RED DE ALCANTARILLADO</t>
        </is>
      </c>
      <c r="C327" s="3" t="inlineStr">
        <is>
          <t>General</t>
        </is>
      </c>
      <c r="D327" s="3" t="inlineStr">
        <is>
          <t>CINTA GALVANIZADA PERFORADA 10MTS</t>
        </is>
      </c>
      <c r="E327" s="3" t="inlineStr">
        <is>
          <t>HERR0052</t>
        </is>
      </c>
      <c r="F327" s="3" t="inlineStr">
        <is>
          <t>UN</t>
        </is>
      </c>
      <c r="G327" s="4" t="n">
        <v>0.15</v>
      </c>
      <c r="H327" s="5" t="n">
        <v>13450</v>
      </c>
      <c r="I327" s="6">
        <f>IF(OR(G327="",H327=""),"",G327*H327)</f>
        <v/>
      </c>
    </row>
    <row r="328">
      <c r="A328" s="2" t="inlineStr">
        <is>
          <t xml:space="preserve">PVC Sanitario Blanco </t>
        </is>
      </c>
      <c r="B328" s="3" t="inlineStr">
        <is>
          <t>4.3. RED DE ALCANTARILLADO</t>
        </is>
      </c>
      <c r="C328" s="3" t="inlineStr">
        <is>
          <t>General</t>
        </is>
      </c>
      <c r="D328" s="3" t="inlineStr">
        <is>
          <t>ABRAZADERA SANITARIA GRIS OMEGA 75MM</t>
        </is>
      </c>
      <c r="E328" s="3" t="inlineStr">
        <is>
          <t>ARBA0242</t>
        </is>
      </c>
      <c r="F328" s="3" t="inlineStr">
        <is>
          <t>UN</t>
        </is>
      </c>
      <c r="G328" s="4" t="n">
        <v>6</v>
      </c>
      <c r="H328" s="5" t="n">
        <v>581.61</v>
      </c>
      <c r="I328" s="6">
        <f>IF(OR(G328="",H328=""),"",G328*H328)</f>
        <v/>
      </c>
    </row>
    <row r="329">
      <c r="A329" s="2" t="inlineStr">
        <is>
          <t xml:space="preserve">PVC Sanitario Blanco </t>
        </is>
      </c>
      <c r="B329" s="3" t="inlineStr">
        <is>
          <t>4.3. RED DE ALCANTARILLADO</t>
        </is>
      </c>
      <c r="C329" s="3" t="inlineStr">
        <is>
          <t>General</t>
        </is>
      </c>
      <c r="D329" s="3" t="inlineStr">
        <is>
          <t>ABRAZADERA SANITARIA GRIS OMEGA 50 MM</t>
        </is>
      </c>
      <c r="E329" s="3" t="inlineStr">
        <is>
          <t>ARBA0243</t>
        </is>
      </c>
      <c r="F329" s="3" t="inlineStr">
        <is>
          <t>UN</t>
        </is>
      </c>
      <c r="G329" s="4" t="n">
        <v>3</v>
      </c>
      <c r="H329" s="5" t="n">
        <v>0</v>
      </c>
      <c r="I329" s="6">
        <f>IF(OR(G329="",H329=""),"",G329*H329)</f>
        <v/>
      </c>
    </row>
    <row r="330">
      <c r="A330" t="inlineStr"/>
      <c r="B330" t="inlineStr"/>
      <c r="C330" t="inlineStr"/>
      <c r="D330" s="7" t="inlineStr">
        <is>
          <t xml:space="preserve">Subtotal PVC Sanitario Blanco </t>
        </is>
      </c>
      <c r="E330" t="inlineStr"/>
      <c r="F330" t="inlineStr"/>
      <c r="G330" t="inlineStr"/>
      <c r="H330" t="inlineStr"/>
      <c r="I330" s="8">
        <f>SUM(I302:I329)</f>
        <v/>
      </c>
    </row>
    <row r="331">
      <c r="A331" s="2" t="inlineStr">
        <is>
          <t>Tuberías PPR - PN16 - Koalition</t>
        </is>
      </c>
      <c r="B331" s="3" t="inlineStr">
        <is>
          <t>4.4. RED DE AGUA FRIA Y CALIENTE</t>
        </is>
      </c>
      <c r="C331" s="3" t="inlineStr">
        <is>
          <t>General</t>
        </is>
      </c>
      <c r="D331" s="3" t="inlineStr">
        <is>
          <t>CODO PP-R 25 MM</t>
        </is>
      </c>
      <c r="E331" s="3" t="inlineStr">
        <is>
          <t>AGPO0006</t>
        </is>
      </c>
      <c r="F331" s="3" t="inlineStr">
        <is>
          <t>UN</t>
        </is>
      </c>
      <c r="G331" s="4" t="n">
        <v>13</v>
      </c>
      <c r="H331" s="5" t="n">
        <v>135.64</v>
      </c>
      <c r="I331" s="6">
        <f>IF(OR(G331="",H331=""),"",G331*H331)</f>
        <v/>
      </c>
    </row>
    <row r="332">
      <c r="A332" s="2" t="inlineStr">
        <is>
          <t>Tuberías PPR - PN16 - Koalition</t>
        </is>
      </c>
      <c r="B332" s="3" t="inlineStr">
        <is>
          <t>4.4. RED DE AGUA FRIA Y CALIENTE</t>
        </is>
      </c>
      <c r="C332" s="3" t="inlineStr">
        <is>
          <t>General</t>
        </is>
      </c>
      <c r="D332" s="3" t="inlineStr">
        <is>
          <t>CODO PP-R 32 MM</t>
        </is>
      </c>
      <c r="E332" s="3" t="inlineStr">
        <is>
          <t>AGPO0007</t>
        </is>
      </c>
      <c r="F332" s="3" t="inlineStr">
        <is>
          <t>UN</t>
        </is>
      </c>
      <c r="G332" s="4" t="n">
        <v>2</v>
      </c>
      <c r="H332" s="5" t="n">
        <v>189.16</v>
      </c>
      <c r="I332" s="6">
        <f>IF(OR(G332="",H332=""),"",G332*H332)</f>
        <v/>
      </c>
    </row>
    <row r="333">
      <c r="A333" s="2" t="inlineStr">
        <is>
          <t>Tuberías PPR - PN16 - Koalition</t>
        </is>
      </c>
      <c r="B333" s="3" t="inlineStr">
        <is>
          <t>4.4. RED DE AGUA FRIA Y CALIENTE</t>
        </is>
      </c>
      <c r="C333" s="3" t="inlineStr">
        <is>
          <t>General</t>
        </is>
      </c>
      <c r="D333" s="3" t="inlineStr">
        <is>
          <t>CODO PPR 025X45°</t>
        </is>
      </c>
      <c r="E333" s="3" t="inlineStr">
        <is>
          <t>AGPO0003</t>
        </is>
      </c>
      <c r="F333" s="3" t="inlineStr">
        <is>
          <t>UN</t>
        </is>
      </c>
      <c r="G333" s="4" t="n">
        <v>5</v>
      </c>
      <c r="H333" s="5" t="n">
        <v>144.12</v>
      </c>
      <c r="I333" s="6">
        <f>IF(OR(G333="",H333=""),"",G333*H333)</f>
        <v/>
      </c>
    </row>
    <row r="334">
      <c r="A334" s="2" t="inlineStr">
        <is>
          <t>Tuberías PPR - PN16 - Koalition</t>
        </is>
      </c>
      <c r="B334" s="3" t="inlineStr">
        <is>
          <t>4.4. RED DE AGUA FRIA Y CALIENTE</t>
        </is>
      </c>
      <c r="C334" s="3" t="inlineStr">
        <is>
          <t>General</t>
        </is>
      </c>
      <c r="D334" s="3" t="inlineStr">
        <is>
          <t>CODO PPR GRIS/VERDE HE 025X1/2 R-MET</t>
        </is>
      </c>
      <c r="E334" s="3" t="inlineStr">
        <is>
          <t>AGPO0010</t>
        </is>
      </c>
      <c r="F334" s="3" t="inlineStr">
        <is>
          <t>UN</t>
        </is>
      </c>
      <c r="G334" s="4" t="n">
        <v>2</v>
      </c>
      <c r="H334" s="5" t="n">
        <v>1101.32</v>
      </c>
      <c r="I334" s="6">
        <f>IF(OR(G334="",H334=""),"",G334*H334)</f>
        <v/>
      </c>
    </row>
    <row r="335">
      <c r="A335" s="2" t="inlineStr">
        <is>
          <t>Tuberías PPR - PN16 - Koalition</t>
        </is>
      </c>
      <c r="B335" s="3" t="inlineStr">
        <is>
          <t>4.4. RED DE AGUA FRIA Y CALIENTE</t>
        </is>
      </c>
      <c r="C335" s="3" t="inlineStr">
        <is>
          <t>General</t>
        </is>
      </c>
      <c r="D335" s="3" t="inlineStr">
        <is>
          <t>CODO PPR GRIS/VERDE HE 025X3/4 R-MET</t>
        </is>
      </c>
      <c r="E335" s="3" t="inlineStr">
        <is>
          <t>AGPO0173</t>
        </is>
      </c>
      <c r="F335" s="3" t="inlineStr">
        <is>
          <t>UN</t>
        </is>
      </c>
      <c r="G335" s="4" t="n">
        <v>1</v>
      </c>
      <c r="H335" s="5" t="n">
        <v>1512.17</v>
      </c>
      <c r="I335" s="6">
        <f>IF(OR(G335="",H335=""),"",G335*H335)</f>
        <v/>
      </c>
    </row>
    <row r="336">
      <c r="A336" s="2" t="inlineStr">
        <is>
          <t>Tuberías PPR - PN16 - Koalition</t>
        </is>
      </c>
      <c r="B336" s="3" t="inlineStr">
        <is>
          <t>4.4. RED DE AGUA FRIA Y CALIENTE</t>
        </is>
      </c>
      <c r="C336" s="3" t="inlineStr">
        <is>
          <t>General</t>
        </is>
      </c>
      <c r="D336" s="3" t="inlineStr">
        <is>
          <t>LLAVE PASO PP-R CROM 25 MM</t>
        </is>
      </c>
      <c r="E336" s="3" t="inlineStr">
        <is>
          <t>AGPO0039</t>
        </is>
      </c>
      <c r="F336" s="3" t="inlineStr">
        <is>
          <t>UN</t>
        </is>
      </c>
      <c r="G336" s="4" t="n">
        <v>5</v>
      </c>
      <c r="H336" s="5" t="n">
        <v>4032.28</v>
      </c>
      <c r="I336" s="6">
        <f>IF(OR(G336="",H336=""),"",G336*H336)</f>
        <v/>
      </c>
    </row>
    <row r="337">
      <c r="A337" s="2" t="inlineStr">
        <is>
          <t>Tuberías PPR - PN16 - Koalition</t>
        </is>
      </c>
      <c r="B337" s="3" t="inlineStr">
        <is>
          <t>4.4. RED DE AGUA FRIA Y CALIENTE</t>
        </is>
      </c>
      <c r="C337" s="3" t="inlineStr">
        <is>
          <t>General</t>
        </is>
      </c>
      <c r="D337" s="3" t="inlineStr">
        <is>
          <t>ALARGADOR VASTAGO XL LARGO 110mm</t>
        </is>
      </c>
      <c r="E337" s="3" t="inlineStr">
        <is>
          <t>AGPO0181</t>
        </is>
      </c>
      <c r="F337" s="3" t="inlineStr">
        <is>
          <t>UN</t>
        </is>
      </c>
      <c r="G337" s="4" t="n">
        <v>3</v>
      </c>
      <c r="H337" s="5" t="n">
        <v>2398</v>
      </c>
      <c r="I337" s="6">
        <f>IF(OR(G337="",H337=""),"",G337*H337)</f>
        <v/>
      </c>
    </row>
    <row r="338">
      <c r="A338" s="2" t="inlineStr">
        <is>
          <t>Tuberías PPR - PN16 - Koalition</t>
        </is>
      </c>
      <c r="B338" s="3" t="inlineStr">
        <is>
          <t>4.4. RED DE AGUA FRIA Y CALIENTE</t>
        </is>
      </c>
      <c r="C338" s="3" t="inlineStr">
        <is>
          <t>General</t>
        </is>
      </c>
      <c r="D338" s="3" t="inlineStr">
        <is>
          <t>LLAVE PASO PPR 032MM C/CAMPANA CROMADA</t>
        </is>
      </c>
      <c r="E338" s="3" t="inlineStr">
        <is>
          <t>AGPO0103</t>
        </is>
      </c>
      <c r="F338" s="3" t="inlineStr">
        <is>
          <t>UN</t>
        </is>
      </c>
      <c r="G338" s="4" t="n">
        <v>1</v>
      </c>
      <c r="H338" s="5" t="n">
        <v>4096</v>
      </c>
      <c r="I338" s="6">
        <f>IF(OR(G338="",H338=""),"",G338*H338)</f>
        <v/>
      </c>
    </row>
    <row r="339">
      <c r="A339" s="2" t="inlineStr">
        <is>
          <t>Tuberías PPR - PN16 - Koalition</t>
        </is>
      </c>
      <c r="B339" s="3" t="inlineStr">
        <is>
          <t>4.4. RED DE AGUA FRIA Y CALIENTE</t>
        </is>
      </c>
      <c r="C339" s="3" t="inlineStr">
        <is>
          <t>General</t>
        </is>
      </c>
      <c r="D339" s="3" t="inlineStr">
        <is>
          <t>PASATUBO PPR 025MM</t>
        </is>
      </c>
      <c r="E339" s="3" t="inlineStr">
        <is>
          <t>AGPO0043</t>
        </is>
      </c>
      <c r="F339" s="3" t="inlineStr">
        <is>
          <t>UN</t>
        </is>
      </c>
      <c r="G339" s="4" t="n">
        <v>1</v>
      </c>
      <c r="H339" s="5" t="n">
        <v>413.74</v>
      </c>
      <c r="I339" s="6">
        <f>IF(OR(G339="",H339=""),"",G339*H339)</f>
        <v/>
      </c>
    </row>
    <row r="340">
      <c r="A340" s="2" t="inlineStr">
        <is>
          <t>Tuberías PPR - PN16 - Koalition</t>
        </is>
      </c>
      <c r="B340" s="3" t="inlineStr">
        <is>
          <t>4.4. RED DE AGUA FRIA Y CALIENTE</t>
        </is>
      </c>
      <c r="C340" s="3" t="inlineStr">
        <is>
          <t>General</t>
        </is>
      </c>
      <c r="D340" s="3" t="inlineStr">
        <is>
          <t>TEE PPR 025X025 FUS. BETA</t>
        </is>
      </c>
      <c r="E340" s="3" t="inlineStr">
        <is>
          <t>AGPO0108</t>
        </is>
      </c>
      <c r="F340" s="3" t="inlineStr">
        <is>
          <t>UN</t>
        </is>
      </c>
      <c r="G340" s="4" t="n">
        <v>5</v>
      </c>
      <c r="H340" s="5" t="n">
        <v>160.62</v>
      </c>
      <c r="I340" s="6">
        <f>IF(OR(G340="",H340=""),"",G340*H340)</f>
        <v/>
      </c>
    </row>
    <row r="341">
      <c r="A341" s="2" t="inlineStr">
        <is>
          <t>Tuberías PPR - PN16 - Koalition</t>
        </is>
      </c>
      <c r="B341" s="3" t="inlineStr">
        <is>
          <t>4.4. RED DE AGUA FRIA Y CALIENTE</t>
        </is>
      </c>
      <c r="C341" s="3" t="inlineStr">
        <is>
          <t>General</t>
        </is>
      </c>
      <c r="D341" s="3" t="inlineStr">
        <is>
          <t>TEE PPR HE 025X1/2 R-MET</t>
        </is>
      </c>
      <c r="E341" s="3" t="inlineStr">
        <is>
          <t>AGPO0160</t>
        </is>
      </c>
      <c r="F341" s="3" t="inlineStr">
        <is>
          <t>UN</t>
        </is>
      </c>
      <c r="G341" s="4" t="n">
        <v>2</v>
      </c>
      <c r="H341" s="5" t="n">
        <v>1210.57</v>
      </c>
      <c r="I341" s="6">
        <f>IF(OR(G341="",H341=""),"",G341*H341)</f>
        <v/>
      </c>
    </row>
    <row r="342">
      <c r="A342" s="2" t="inlineStr">
        <is>
          <t>Tuberías PPR - PN16 - Koalition</t>
        </is>
      </c>
      <c r="B342" s="3" t="inlineStr">
        <is>
          <t>4.4. RED DE AGUA FRIA Y CALIENTE</t>
        </is>
      </c>
      <c r="C342" s="3" t="inlineStr">
        <is>
          <t>General</t>
        </is>
      </c>
      <c r="D342" s="3" t="inlineStr">
        <is>
          <t>TEE REDUCCION FUSION 32X25X25</t>
        </is>
      </c>
      <c r="E342" s="3" t="inlineStr">
        <is>
          <t>AGPO0139</t>
        </is>
      </c>
      <c r="F342" s="3" t="inlineStr">
        <is>
          <t>UN</t>
        </is>
      </c>
      <c r="G342" s="4" t="n">
        <v>1</v>
      </c>
      <c r="H342" s="5" t="n">
        <v>336.13</v>
      </c>
      <c r="I342" s="6">
        <f>IF(OR(G342="",H342=""),"",G342*H342)</f>
        <v/>
      </c>
    </row>
    <row r="343">
      <c r="A343" s="2" t="inlineStr">
        <is>
          <t>Tuberías PPR - PN16 - Koalition</t>
        </is>
      </c>
      <c r="B343" s="3" t="inlineStr">
        <is>
          <t>4.4. RED DE AGUA FRIA Y CALIENTE</t>
        </is>
      </c>
      <c r="C343" s="3" t="inlineStr">
        <is>
          <t>General</t>
        </is>
      </c>
      <c r="D343" s="3" t="inlineStr">
        <is>
          <t>TEE PPR HI 025X1/2 R-MET</t>
        </is>
      </c>
      <c r="E343" s="3" t="inlineStr">
        <is>
          <t>AGPO0067</t>
        </is>
      </c>
      <c r="F343" s="3" t="inlineStr">
        <is>
          <t>UN</t>
        </is>
      </c>
      <c r="G343" s="4" t="n">
        <v>1</v>
      </c>
      <c r="H343" s="5" t="n">
        <v>1035.82</v>
      </c>
      <c r="I343" s="6">
        <f>IF(OR(G343="",H343=""),"",G343*H343)</f>
        <v/>
      </c>
    </row>
    <row r="344">
      <c r="A344" s="2" t="inlineStr">
        <is>
          <t>Tuberías PPR - PN16 - Koalition</t>
        </is>
      </c>
      <c r="B344" s="3" t="inlineStr">
        <is>
          <t>4.4. RED DE AGUA FRIA Y CALIENTE</t>
        </is>
      </c>
      <c r="C344" s="3" t="inlineStr">
        <is>
          <t>General</t>
        </is>
      </c>
      <c r="D344" s="3" t="inlineStr">
        <is>
          <t>TERMINAL PPR HE 025X1/2</t>
        </is>
      </c>
      <c r="E344" s="3" t="inlineStr">
        <is>
          <t>AGPO0117</t>
        </is>
      </c>
      <c r="F344" s="3" t="inlineStr">
        <is>
          <t>UN</t>
        </is>
      </c>
      <c r="G344" s="4" t="n">
        <v>2</v>
      </c>
      <c r="H344" s="5" t="n">
        <v>947.5599999999999</v>
      </c>
      <c r="I344" s="6">
        <f>IF(OR(G344="",H344=""),"",G344*H344)</f>
        <v/>
      </c>
    </row>
    <row r="345">
      <c r="A345" s="2" t="inlineStr">
        <is>
          <t>Tuberías PPR - PN16 - Koalition</t>
        </is>
      </c>
      <c r="B345" s="3" t="inlineStr">
        <is>
          <t>4.4. RED DE AGUA FRIA Y CALIENTE</t>
        </is>
      </c>
      <c r="C345" s="3" t="inlineStr">
        <is>
          <t>General</t>
        </is>
      </c>
      <c r="D345" s="3" t="inlineStr">
        <is>
          <t>TERMINAL PPR HI 025X1/2</t>
        </is>
      </c>
      <c r="E345" s="3" t="inlineStr">
        <is>
          <t>AGPO0118</t>
        </is>
      </c>
      <c r="F345" s="3" t="inlineStr">
        <is>
          <t>UN</t>
        </is>
      </c>
      <c r="G345" s="4" t="n">
        <v>3</v>
      </c>
      <c r="H345" s="5" t="n">
        <v>785.8</v>
      </c>
      <c r="I345" s="6">
        <f>IF(OR(G345="",H345=""),"",G345*H345)</f>
        <v/>
      </c>
    </row>
    <row r="346">
      <c r="A346" s="2" t="inlineStr">
        <is>
          <t>Tuberías PPR - PN16 - Koalition</t>
        </is>
      </c>
      <c r="B346" s="3" t="inlineStr">
        <is>
          <t>4.4. RED DE AGUA FRIA Y CALIENTE</t>
        </is>
      </c>
      <c r="C346" s="3" t="inlineStr">
        <is>
          <t>General</t>
        </is>
      </c>
      <c r="D346" s="3" t="inlineStr">
        <is>
          <t>TERMINAL PPR HI 025X3/4</t>
        </is>
      </c>
      <c r="E346" s="3" t="inlineStr">
        <is>
          <t>AGPO0183</t>
        </is>
      </c>
      <c r="F346" s="3" t="inlineStr">
        <is>
          <t>UN</t>
        </is>
      </c>
      <c r="G346" s="4" t="n"/>
      <c r="H346" s="5" t="n">
        <v>1278.06</v>
      </c>
      <c r="I346" s="6">
        <f>IF(OR(G346="",H346=""),"",G346*H346)</f>
        <v/>
      </c>
    </row>
    <row r="347">
      <c r="A347" s="2" t="inlineStr">
        <is>
          <t>Tuberías PPR - PN16 - Koalition</t>
        </is>
      </c>
      <c r="B347" s="3" t="inlineStr">
        <is>
          <t>4.4. RED DE AGUA FRIA Y CALIENTE</t>
        </is>
      </c>
      <c r="C347" s="3" t="inlineStr">
        <is>
          <t>General</t>
        </is>
      </c>
      <c r="D347" s="3" t="inlineStr">
        <is>
          <t>TERMINAL PPR HE 25X3/4</t>
        </is>
      </c>
      <c r="E347" s="3" t="inlineStr">
        <is>
          <t>AGPO0086</t>
        </is>
      </c>
      <c r="F347" s="3" t="inlineStr">
        <is>
          <t>UN</t>
        </is>
      </c>
      <c r="G347" s="4" t="n">
        <v>1</v>
      </c>
      <c r="H347" s="5" t="n">
        <v>1392.64</v>
      </c>
      <c r="I347" s="6">
        <f>IF(OR(G347="",H347=""),"",G347*H347)</f>
        <v/>
      </c>
    </row>
    <row r="348">
      <c r="A348" s="2" t="inlineStr">
        <is>
          <t>Tuberías PPR - PN16 - Koalition</t>
        </is>
      </c>
      <c r="B348" s="3" t="inlineStr">
        <is>
          <t>4.4. RED DE AGUA FRIA Y CALIENTE</t>
        </is>
      </c>
      <c r="C348" s="3" t="inlineStr">
        <is>
          <t>General</t>
        </is>
      </c>
      <c r="D348" s="3" t="inlineStr">
        <is>
          <t>COPLA PP-R 25 MM</t>
        </is>
      </c>
      <c r="E348" s="3" t="inlineStr">
        <is>
          <t>AGPO0022</t>
        </is>
      </c>
      <c r="F348" s="3" t="inlineStr">
        <is>
          <t>UN</t>
        </is>
      </c>
      <c r="G348" s="4" t="n"/>
      <c r="H348" s="5" t="n">
        <v>393.5</v>
      </c>
      <c r="I348" s="6">
        <f>IF(OR(G348="",H348=""),"",G348*H348)</f>
        <v/>
      </c>
    </row>
    <row r="349">
      <c r="A349" s="2" t="inlineStr">
        <is>
          <t>Tuberías PPR - PN16 - Koalition</t>
        </is>
      </c>
      <c r="B349" s="3" t="inlineStr">
        <is>
          <t>4.4. RED DE AGUA FRIA Y CALIENTE</t>
        </is>
      </c>
      <c r="C349" s="3" t="inlineStr">
        <is>
          <t>General</t>
        </is>
      </c>
      <c r="D349" s="3" t="inlineStr">
        <is>
          <t>TUBERIA PPR 25X6 MTS BETA S3</t>
        </is>
      </c>
      <c r="E349" s="3" t="inlineStr">
        <is>
          <t>AGPO0120</t>
        </is>
      </c>
      <c r="F349" s="3" t="inlineStr">
        <is>
          <t>UN</t>
        </is>
      </c>
      <c r="G349" s="4" t="n">
        <v>1.5</v>
      </c>
      <c r="H349" s="5" t="n">
        <v>1881.77</v>
      </c>
      <c r="I349" s="6">
        <f>IF(OR(G349="",H349=""),"",G349*H349)</f>
        <v/>
      </c>
    </row>
    <row r="350">
      <c r="A350" s="2" t="inlineStr">
        <is>
          <t>Tuberías PPR - PN16 - Koalition</t>
        </is>
      </c>
      <c r="B350" s="3" t="inlineStr">
        <is>
          <t>4.4. RED DE AGUA FRIA Y CALIENTE</t>
        </is>
      </c>
      <c r="C350" s="3" t="inlineStr">
        <is>
          <t>General</t>
        </is>
      </c>
      <c r="D350" s="3" t="inlineStr">
        <is>
          <t>TUBERIA PPR 32X6 MTS BETA S3</t>
        </is>
      </c>
      <c r="E350" s="3" t="inlineStr">
        <is>
          <t>AGPO0121</t>
        </is>
      </c>
      <c r="F350" s="3" t="inlineStr">
        <is>
          <t>UN</t>
        </is>
      </c>
      <c r="G350" s="4" t="n">
        <v>0.1</v>
      </c>
      <c r="H350" s="5" t="n">
        <v>1383</v>
      </c>
      <c r="I350" s="6">
        <f>IF(OR(G350="",H350=""),"",G350*H350)</f>
        <v/>
      </c>
    </row>
    <row r="351">
      <c r="A351" s="2" t="inlineStr">
        <is>
          <t>Tuberías PPR - PN16 - Koalition</t>
        </is>
      </c>
      <c r="B351" s="3" t="inlineStr">
        <is>
          <t>4.4. RED DE AGUA FRIA Y CALIENTE</t>
        </is>
      </c>
      <c r="C351" s="3" t="inlineStr">
        <is>
          <t>General</t>
        </is>
      </c>
      <c r="D351" s="3" t="inlineStr">
        <is>
          <t>CINTA TEFLON 1/2</t>
        </is>
      </c>
      <c r="E351" s="3" t="inlineStr">
        <is>
          <t>AGPO0001</t>
        </is>
      </c>
      <c r="F351" s="3" t="inlineStr">
        <is>
          <t>UN</t>
        </is>
      </c>
      <c r="G351" s="4" t="n">
        <v>1</v>
      </c>
      <c r="H351" s="5" t="n">
        <v>166.08</v>
      </c>
      <c r="I351" s="6">
        <f>IF(OR(G351="",H351=""),"",G351*H351)</f>
        <v/>
      </c>
    </row>
    <row r="352">
      <c r="A352" s="2" t="inlineStr">
        <is>
          <t>Tuberías PPR - PN16 - Koalition</t>
        </is>
      </c>
      <c r="B352" s="3" t="inlineStr">
        <is>
          <t>4.4. RED DE AGUA FRIA Y CALIENTE</t>
        </is>
      </c>
      <c r="C352" s="3" t="inlineStr">
        <is>
          <t>General</t>
        </is>
      </c>
      <c r="D352" s="3" t="inlineStr">
        <is>
          <t>TAPA GORRO PVC 3/4 HI</t>
        </is>
      </c>
      <c r="E352" s="3" t="inlineStr">
        <is>
          <t>AGPO0178</t>
        </is>
      </c>
      <c r="F352" s="3" t="inlineStr">
        <is>
          <t>UN</t>
        </is>
      </c>
      <c r="G352" s="4" t="n">
        <v>2</v>
      </c>
      <c r="H352" s="5" t="n">
        <v>130</v>
      </c>
      <c r="I352" s="6">
        <f>IF(OR(G352="",H352=""),"",G352*H352)</f>
        <v/>
      </c>
    </row>
    <row r="353">
      <c r="A353" s="2" t="inlineStr">
        <is>
          <t>Tuberías PPR - PN16 - Koalition</t>
        </is>
      </c>
      <c r="B353" s="3" t="inlineStr">
        <is>
          <t>4.4. RED DE AGUA FRIA Y CALIENTE</t>
        </is>
      </c>
      <c r="C353" s="3" t="inlineStr">
        <is>
          <t>General</t>
        </is>
      </c>
      <c r="D353" s="3" t="inlineStr">
        <is>
          <t>TAPA GORRO PVC 1/2 HI</t>
        </is>
      </c>
      <c r="E353" s="3" t="inlineStr">
        <is>
          <t>AGPO0179</t>
        </is>
      </c>
      <c r="F353" s="3" t="inlineStr">
        <is>
          <t>UN</t>
        </is>
      </c>
      <c r="G353" s="4" t="n">
        <v>3</v>
      </c>
      <c r="H353" s="5" t="n">
        <v>104.8</v>
      </c>
      <c r="I353" s="6">
        <f>IF(OR(G353="",H353=""),"",G353*H353)</f>
        <v/>
      </c>
    </row>
    <row r="354">
      <c r="A354" t="inlineStr"/>
      <c r="B354" t="inlineStr"/>
      <c r="C354" t="inlineStr"/>
      <c r="D354" s="7" t="inlineStr">
        <is>
          <t>Subtotal Tuberías PPR - PN16 - Koalition</t>
        </is>
      </c>
      <c r="E354" t="inlineStr"/>
      <c r="F354" t="inlineStr"/>
      <c r="G354" t="inlineStr"/>
      <c r="H354" t="inlineStr"/>
      <c r="I354" s="8">
        <f>SUM(I331:I353)</f>
        <v/>
      </c>
    </row>
    <row r="355">
      <c r="A355" s="2" t="inlineStr">
        <is>
          <t>Lavaplatos Sobreponer Inoxidable</t>
        </is>
      </c>
      <c r="B355" s="3" t="inlineStr">
        <is>
          <t>4.5. ARTEFACTOS DE COCINA</t>
        </is>
      </c>
      <c r="C355" s="3" t="inlineStr">
        <is>
          <t>General</t>
        </is>
      </c>
      <c r="D355" s="3" t="inlineStr">
        <is>
          <t>CAPUCHON GOMA SANITARIO 040X032</t>
        </is>
      </c>
      <c r="E355" s="3" t="inlineStr">
        <is>
          <t>ARBA0013</t>
        </is>
      </c>
      <c r="F355" s="3" t="inlineStr">
        <is>
          <t>UN</t>
        </is>
      </c>
      <c r="G355" s="4" t="n">
        <v>1</v>
      </c>
      <c r="H355" s="5" t="n">
        <v>275</v>
      </c>
      <c r="I355" s="6">
        <f>IF(OR(G355="",H355=""),"",G355*H355)</f>
        <v/>
      </c>
    </row>
    <row r="356">
      <c r="A356" t="inlineStr"/>
      <c r="B356" t="inlineStr"/>
      <c r="C356" t="inlineStr"/>
      <c r="D356" s="7" t="inlineStr">
        <is>
          <t>Subtotal Lavaplatos Sobreponer Inoxidable</t>
        </is>
      </c>
      <c r="E356" t="inlineStr"/>
      <c r="F356" t="inlineStr"/>
      <c r="G356" t="inlineStr"/>
      <c r="H356" t="inlineStr"/>
      <c r="I356" s="8">
        <f>SUM(I355:I355)</f>
        <v/>
      </c>
    </row>
    <row r="357">
      <c r="A357" s="2" t="inlineStr">
        <is>
          <t>Lavarropas Estandar</t>
        </is>
      </c>
      <c r="B357" s="3" t="inlineStr">
        <is>
          <t>4.5. ARTEFACTOS DE COCINA</t>
        </is>
      </c>
      <c r="C357" s="3" t="inlineStr">
        <is>
          <t>General</t>
        </is>
      </c>
      <c r="D357" s="3" t="inlineStr">
        <is>
          <t>LAVARROPA MODELO TQO DE 15 LITROS</t>
        </is>
      </c>
      <c r="E357" s="3" t="inlineStr">
        <is>
          <t>ARCO0054</t>
        </is>
      </c>
      <c r="F357" s="3" t="inlineStr">
        <is>
          <t>UN</t>
        </is>
      </c>
      <c r="G357" s="4" t="n">
        <v>1</v>
      </c>
      <c r="H357" s="5" t="n">
        <v>9017.799999999999</v>
      </c>
      <c r="I357" s="6">
        <f>IF(OR(G357="",H357=""),"",G357*H357)</f>
        <v/>
      </c>
    </row>
    <row r="358">
      <c r="A358" s="2" t="inlineStr">
        <is>
          <t>Lavarropas Estandar</t>
        </is>
      </c>
      <c r="B358" s="3" t="inlineStr">
        <is>
          <t>4.5. ARTEFACTOS DE COCINA</t>
        </is>
      </c>
      <c r="C358" s="3" t="inlineStr">
        <is>
          <t>General</t>
        </is>
      </c>
      <c r="D358" s="3" t="inlineStr">
        <is>
          <t>ATRIL METALICO LAVARROPA 15L 2-PATAS</t>
        </is>
      </c>
      <c r="E358" s="3" t="inlineStr">
        <is>
          <t>ARCO0056</t>
        </is>
      </c>
      <c r="F358" s="3" t="inlineStr">
        <is>
          <t>UN</t>
        </is>
      </c>
      <c r="G358" s="4" t="n">
        <v>1</v>
      </c>
      <c r="H358" s="5" t="n">
        <v>10415.91</v>
      </c>
      <c r="I358" s="6">
        <f>IF(OR(G358="",H358=""),"",G358*H358)</f>
        <v/>
      </c>
    </row>
    <row r="359">
      <c r="A359" s="2" t="inlineStr">
        <is>
          <t>Lavarropas Estandar</t>
        </is>
      </c>
      <c r="B359" s="3" t="inlineStr">
        <is>
          <t>4.5. ARTEFACTOS DE COCINA</t>
        </is>
      </c>
      <c r="C359" s="3" t="inlineStr">
        <is>
          <t>General</t>
        </is>
      </c>
      <c r="D359" s="3" t="inlineStr">
        <is>
          <t>LLAVE DE BOLA JARDIN/LAVADERO 1/2</t>
        </is>
      </c>
      <c r="E359" s="3" t="inlineStr">
        <is>
          <t>ARCO0057</t>
        </is>
      </c>
      <c r="F359" s="3" t="inlineStr">
        <is>
          <t>UN</t>
        </is>
      </c>
      <c r="G359" s="4" t="n">
        <v>1</v>
      </c>
      <c r="H359" s="5" t="n">
        <v>2669.82</v>
      </c>
      <c r="I359" s="6">
        <f>IF(OR(G359="",H359=""),"",G359*H359)</f>
        <v/>
      </c>
    </row>
    <row r="360">
      <c r="A360" t="inlineStr"/>
      <c r="B360" t="inlineStr"/>
      <c r="C360" t="inlineStr"/>
      <c r="D360" s="7" t="inlineStr">
        <is>
          <t>Subtotal Lavarropas Estandar</t>
        </is>
      </c>
      <c r="E360" t="inlineStr"/>
      <c r="F360" t="inlineStr"/>
      <c r="G360" t="inlineStr"/>
      <c r="H360" t="inlineStr"/>
      <c r="I360" s="8">
        <f>SUM(I357:I359)</f>
        <v/>
      </c>
    </row>
    <row r="361">
      <c r="A361" s="2" t="inlineStr">
        <is>
          <t>Estándar - Canalizado Eléctrico</t>
        </is>
      </c>
      <c r="B361" s="3" t="inlineStr">
        <is>
          <t>5.1. RED DE ELECTRICIDAD</t>
        </is>
      </c>
      <c r="C361" s="3" t="inlineStr">
        <is>
          <t>General</t>
        </is>
      </c>
      <c r="D361" s="3" t="inlineStr">
        <is>
          <t>CABLE ROJO 1,5MM2 450-750V</t>
        </is>
      </c>
      <c r="E361" s="3" t="inlineStr">
        <is>
          <t>ELEC0113</t>
        </is>
      </c>
      <c r="F361" s="3" t="inlineStr">
        <is>
          <t>ML</t>
        </is>
      </c>
      <c r="G361" s="4" t="n">
        <v>138.1</v>
      </c>
      <c r="H361" s="5" t="n">
        <v>194.02</v>
      </c>
      <c r="I361" s="6">
        <f>IF(OR(G361="",H361=""),"",G361*H361)</f>
        <v/>
      </c>
    </row>
    <row r="362">
      <c r="A362" s="2" t="inlineStr">
        <is>
          <t>Estándar - Canalizado Eléctrico</t>
        </is>
      </c>
      <c r="B362" s="3" t="inlineStr">
        <is>
          <t>5.1. RED DE ELECTRICIDAD</t>
        </is>
      </c>
      <c r="C362" s="3" t="inlineStr">
        <is>
          <t>General</t>
        </is>
      </c>
      <c r="D362" s="3" t="inlineStr">
        <is>
          <t>CABLE BLANCO 1,5MM2 450-750V</t>
        </is>
      </c>
      <c r="E362" s="3" t="inlineStr">
        <is>
          <t>ELEC0111</t>
        </is>
      </c>
      <c r="F362" s="3" t="inlineStr">
        <is>
          <t>ML</t>
        </is>
      </c>
      <c r="G362" s="4" t="n">
        <v>55.7</v>
      </c>
      <c r="H362" s="5" t="n">
        <v>185.18</v>
      </c>
      <c r="I362" s="6">
        <f>IF(OR(G362="",H362=""),"",G362*H362)</f>
        <v/>
      </c>
    </row>
    <row r="363">
      <c r="A363" s="2" t="inlineStr">
        <is>
          <t>Estándar - Canalizado Eléctrico</t>
        </is>
      </c>
      <c r="B363" s="3" t="inlineStr">
        <is>
          <t>5.1. RED DE ELECTRICIDAD</t>
        </is>
      </c>
      <c r="C363" s="3" t="inlineStr">
        <is>
          <t>General</t>
        </is>
      </c>
      <c r="D363" s="3" t="inlineStr">
        <is>
          <t>CABLE VERDE 1,5MM2 450-750V</t>
        </is>
      </c>
      <c r="E363" s="3" t="inlineStr">
        <is>
          <t>ELEC0115</t>
        </is>
      </c>
      <c r="F363" s="3" t="inlineStr">
        <is>
          <t>ML</t>
        </is>
      </c>
      <c r="G363" s="4" t="n">
        <v>55.7</v>
      </c>
      <c r="H363" s="5" t="n">
        <v>184.75</v>
      </c>
      <c r="I363" s="6">
        <f>IF(OR(G363="",H363=""),"",G363*H363)</f>
        <v/>
      </c>
    </row>
    <row r="364">
      <c r="A364" s="2" t="inlineStr">
        <is>
          <t>Estándar - Canalizado Eléctrico</t>
        </is>
      </c>
      <c r="B364" s="3" t="inlineStr">
        <is>
          <t>5.1. RED DE ELECTRICIDAD</t>
        </is>
      </c>
      <c r="C364" s="3" t="inlineStr">
        <is>
          <t>General</t>
        </is>
      </c>
      <c r="D364" s="3" t="inlineStr">
        <is>
          <t>CABLE ROJO 2,5MM2 450-750V</t>
        </is>
      </c>
      <c r="E364" s="3" t="inlineStr">
        <is>
          <t>ELEC0029</t>
        </is>
      </c>
      <c r="F364" s="3" t="inlineStr">
        <is>
          <t>ML</t>
        </is>
      </c>
      <c r="G364" s="4" t="n">
        <v>94.36</v>
      </c>
      <c r="H364" s="5" t="n">
        <v>317.64</v>
      </c>
      <c r="I364" s="6">
        <f>IF(OR(G364="",H364=""),"",G364*H364)</f>
        <v/>
      </c>
    </row>
    <row r="365">
      <c r="A365" s="2" t="inlineStr">
        <is>
          <t>Estándar - Canalizado Eléctrico</t>
        </is>
      </c>
      <c r="B365" s="3" t="inlineStr">
        <is>
          <t>5.1. RED DE ELECTRICIDAD</t>
        </is>
      </c>
      <c r="C365" s="3" t="inlineStr">
        <is>
          <t>General</t>
        </is>
      </c>
      <c r="D365" s="3" t="inlineStr">
        <is>
          <t>CABLE BLANCO 2,5MM2 450-750V</t>
        </is>
      </c>
      <c r="E365" s="3" t="inlineStr">
        <is>
          <t>ELEC0023</t>
        </is>
      </c>
      <c r="F365" s="3" t="inlineStr">
        <is>
          <t>ML</t>
        </is>
      </c>
      <c r="G365" s="4" t="n">
        <v>94.36</v>
      </c>
      <c r="H365" s="5" t="n">
        <v>317.17</v>
      </c>
      <c r="I365" s="6">
        <f>IF(OR(G365="",H365=""),"",G365*H365)</f>
        <v/>
      </c>
    </row>
    <row r="366">
      <c r="A366" s="2" t="inlineStr">
        <is>
          <t>Estándar - Canalizado Eléctrico</t>
        </is>
      </c>
      <c r="B366" s="3" t="inlineStr">
        <is>
          <t>5.1. RED DE ELECTRICIDAD</t>
        </is>
      </c>
      <c r="C366" s="3" t="inlineStr">
        <is>
          <t>General</t>
        </is>
      </c>
      <c r="D366" s="3" t="inlineStr">
        <is>
          <t>CABLE VERDE 2,5MM2 450-750V</t>
        </is>
      </c>
      <c r="E366" s="3" t="inlineStr">
        <is>
          <t>ELEC0030</t>
        </is>
      </c>
      <c r="F366" s="3" t="inlineStr">
        <is>
          <t>ML</t>
        </is>
      </c>
      <c r="G366" s="4" t="n">
        <v>94.36</v>
      </c>
      <c r="H366" s="5" t="n">
        <v>317.57</v>
      </c>
      <c r="I366" s="6">
        <f>IF(OR(G366="",H366=""),"",G366*H366)</f>
        <v/>
      </c>
    </row>
    <row r="367">
      <c r="A367" s="2" t="inlineStr">
        <is>
          <t>Estándar - Canalizado Eléctrico</t>
        </is>
      </c>
      <c r="B367" s="3" t="inlineStr">
        <is>
          <t>5.1. RED DE ELECTRICIDAD</t>
        </is>
      </c>
      <c r="C367" s="3" t="inlineStr">
        <is>
          <t>General</t>
        </is>
      </c>
      <c r="D367" s="3" t="inlineStr">
        <is>
          <t>CABLE FLEXIBLE 10AWG M/S/C/B/FLEX</t>
        </is>
      </c>
      <c r="E367" s="3" t="inlineStr">
        <is>
          <t>ELEC0506</t>
        </is>
      </c>
      <c r="F367" s="3" t="inlineStr">
        <is>
          <t>UN</t>
        </is>
      </c>
      <c r="G367" s="4" t="n">
        <v>10</v>
      </c>
      <c r="H367" s="5" t="n">
        <v>773.92</v>
      </c>
      <c r="I367" s="6">
        <f>IF(OR(G367="",H367=""),"",G367*H367)</f>
        <v/>
      </c>
    </row>
    <row r="368">
      <c r="A368" s="2" t="inlineStr">
        <is>
          <t>Estándar - Canalizado Eléctrico</t>
        </is>
      </c>
      <c r="B368" s="3" t="inlineStr">
        <is>
          <t>5.1. RED DE ELECTRICIDAD</t>
        </is>
      </c>
      <c r="C368" s="3" t="inlineStr">
        <is>
          <t>General</t>
        </is>
      </c>
      <c r="D368" s="3" t="inlineStr">
        <is>
          <t>TUBO FLEXIBLE L/HALOGENO 20MM  (100MTS)</t>
        </is>
      </c>
      <c r="E368" s="3" t="inlineStr">
        <is>
          <t>ELEC0358</t>
        </is>
      </c>
      <c r="F368" s="3" t="inlineStr">
        <is>
          <t>ML</t>
        </is>
      </c>
      <c r="G368" s="4" t="n">
        <v>146.95</v>
      </c>
      <c r="H368" s="5" t="n">
        <v>309.49</v>
      </c>
      <c r="I368" s="6">
        <f>IF(OR(G368="",H368=""),"",G368*H368)</f>
        <v/>
      </c>
    </row>
    <row r="369">
      <c r="A369" s="2" t="inlineStr">
        <is>
          <t>Estándar - Canalizado Eléctrico</t>
        </is>
      </c>
      <c r="B369" s="3" t="inlineStr">
        <is>
          <t>5.1. RED DE ELECTRICIDAD</t>
        </is>
      </c>
      <c r="C369" s="3" t="inlineStr">
        <is>
          <t>General</t>
        </is>
      </c>
      <c r="D369" s="3" t="inlineStr">
        <is>
          <t>SALIDA CAJA L/HALOG 20MM GRIS PARES</t>
        </is>
      </c>
      <c r="E369" s="3" t="inlineStr">
        <is>
          <t>ELEC0207</t>
        </is>
      </c>
      <c r="F369" s="3" t="inlineStr">
        <is>
          <t>UN</t>
        </is>
      </c>
      <c r="G369" s="4" t="n">
        <v>500</v>
      </c>
      <c r="H369" s="5" t="n">
        <v>181.79</v>
      </c>
      <c r="I369" s="6">
        <f>IF(OR(G369="",H369=""),"",G369*H369)</f>
        <v/>
      </c>
    </row>
    <row r="370">
      <c r="A370" s="2" t="inlineStr">
        <is>
          <t>Estándar - Canalizado Eléctrico</t>
        </is>
      </c>
      <c r="B370" s="3" t="inlineStr">
        <is>
          <t>5.1. RED DE ELECTRICIDAD</t>
        </is>
      </c>
      <c r="C370" s="3" t="inlineStr">
        <is>
          <t>General</t>
        </is>
      </c>
      <c r="D370" s="3" t="inlineStr">
        <is>
          <t>CINTA GOMA AUTOFUNDENTE EPR 5M 19MM X 0.76MM NEGRA</t>
        </is>
      </c>
      <c r="E370" s="3" t="inlineStr">
        <is>
          <t>ELEC0675</t>
        </is>
      </c>
      <c r="F370" s="3" t="inlineStr">
        <is>
          <t>UN</t>
        </is>
      </c>
      <c r="G370" s="4" t="n">
        <v>1</v>
      </c>
      <c r="H370" s="5" t="n">
        <v>1895.06</v>
      </c>
      <c r="I370" s="6">
        <f>IF(OR(G370="",H370=""),"",G370*H370)</f>
        <v/>
      </c>
    </row>
    <row r="371">
      <c r="A371" s="2" t="inlineStr">
        <is>
          <t>Estándar - Canalizado Eléctrico</t>
        </is>
      </c>
      <c r="B371" s="3" t="inlineStr">
        <is>
          <t>5.1. RED DE ELECTRICIDAD</t>
        </is>
      </c>
      <c r="C371" s="3" t="inlineStr">
        <is>
          <t>General</t>
        </is>
      </c>
      <c r="D371" s="3" t="inlineStr">
        <is>
          <t>CINTA VINIL 19MM X 9MM TEMFLEX 165 NEGRO</t>
        </is>
      </c>
      <c r="E371" s="3" t="inlineStr">
        <is>
          <t>ELEC0605</t>
        </is>
      </c>
      <c r="F371" s="3" t="inlineStr">
        <is>
          <t>UN</t>
        </is>
      </c>
      <c r="G371" s="4" t="n">
        <v>1</v>
      </c>
      <c r="H371" s="5" t="n">
        <v>901.99</v>
      </c>
      <c r="I371" s="6">
        <f>IF(OR(G371="",H371=""),"",G371*H371)</f>
        <v/>
      </c>
    </row>
    <row r="372">
      <c r="A372" s="2" t="inlineStr">
        <is>
          <t>Estándar - Canalizado Eléctrico</t>
        </is>
      </c>
      <c r="B372" s="3" t="inlineStr">
        <is>
          <t>5.1. RED DE ELECTRICIDAD</t>
        </is>
      </c>
      <c r="C372" s="3" t="inlineStr">
        <is>
          <t>General</t>
        </is>
      </c>
      <c r="D372" s="3" t="inlineStr">
        <is>
          <t>CINTA AISLANTE VINILICA 19MM X18MTS ROJO - AM TEMFLEX 165</t>
        </is>
      </c>
      <c r="E372" s="3" t="inlineStr">
        <is>
          <t>ELEC0481</t>
        </is>
      </c>
      <c r="F372" s="3" t="inlineStr">
        <is>
          <t>UN</t>
        </is>
      </c>
      <c r="G372" s="4" t="n">
        <v>0.15</v>
      </c>
      <c r="H372" s="5" t="n">
        <v>1249.48</v>
      </c>
      <c r="I372" s="6">
        <f>IF(OR(G372="",H372=""),"",G372*H372)</f>
        <v/>
      </c>
    </row>
    <row r="373">
      <c r="A373" s="2" t="inlineStr">
        <is>
          <t>Estándar - Canalizado Eléctrico</t>
        </is>
      </c>
      <c r="B373" s="3" t="inlineStr">
        <is>
          <t>5.1. RED DE ELECTRICIDAD</t>
        </is>
      </c>
      <c r="C373" s="3" t="inlineStr">
        <is>
          <t>General</t>
        </is>
      </c>
      <c r="D373" s="3" t="inlineStr">
        <is>
          <t>CINTA AISLANTE VINILICA 19MM X18MTS VERDE - AM TEMFLEX 165</t>
        </is>
      </c>
      <c r="E373" s="3" t="inlineStr">
        <is>
          <t>ELEC0482</t>
        </is>
      </c>
      <c r="F373" s="3" t="inlineStr">
        <is>
          <t>UN</t>
        </is>
      </c>
      <c r="G373" s="4" t="n">
        <v>0.15</v>
      </c>
      <c r="H373" s="5" t="n">
        <v>340.73</v>
      </c>
      <c r="I373" s="6">
        <f>IF(OR(G373="",H373=""),"",G373*H373)</f>
        <v/>
      </c>
    </row>
    <row r="374">
      <c r="A374" s="2" t="inlineStr">
        <is>
          <t>Estándar - Canalizado Eléctrico</t>
        </is>
      </c>
      <c r="B374" s="3" t="inlineStr">
        <is>
          <t>5.1. RED DE ELECTRICIDAD</t>
        </is>
      </c>
      <c r="C374" s="3" t="inlineStr">
        <is>
          <t>General</t>
        </is>
      </c>
      <c r="D374" s="3" t="inlineStr">
        <is>
          <t>CINTA AISLANTE VINILICA 19MM X18MTS BLANCO - AM TEMFLEX 165</t>
        </is>
      </c>
      <c r="E374" s="3" t="inlineStr">
        <is>
          <t>ELEC0483</t>
        </is>
      </c>
      <c r="F374" s="3" t="inlineStr">
        <is>
          <t>UN</t>
        </is>
      </c>
      <c r="G374" s="4" t="n">
        <v>0.15</v>
      </c>
      <c r="H374" s="5" t="n">
        <v>964</v>
      </c>
      <c r="I374" s="6">
        <f>IF(OR(G374="",H374=""),"",G374*H374)</f>
        <v/>
      </c>
    </row>
    <row r="375">
      <c r="A375" s="2" t="inlineStr">
        <is>
          <t>Estándar - Canalizado Eléctrico</t>
        </is>
      </c>
      <c r="B375" s="3" t="inlineStr">
        <is>
          <t>5.1. RED DE ELECTRICIDAD</t>
        </is>
      </c>
      <c r="C375" s="3" t="inlineStr">
        <is>
          <t>General</t>
        </is>
      </c>
      <c r="D375" s="3" t="inlineStr">
        <is>
          <t>ALAMBRE GALVANIZADO # 18</t>
        </is>
      </c>
      <c r="E375" s="3" t="inlineStr">
        <is>
          <t>ACER0002</t>
        </is>
      </c>
      <c r="F375" s="3" t="inlineStr">
        <is>
          <t>KG</t>
        </is>
      </c>
      <c r="G375" s="4" t="n">
        <v>0.1</v>
      </c>
      <c r="H375" s="5" t="n">
        <v>1797.75</v>
      </c>
      <c r="I375" s="6">
        <f>IF(OR(G375="",H375=""),"",G375*H375)</f>
        <v/>
      </c>
    </row>
    <row r="376">
      <c r="A376" s="2" t="inlineStr">
        <is>
          <t>Estándar - Canalizado Eléctrico</t>
        </is>
      </c>
      <c r="B376" s="3" t="inlineStr">
        <is>
          <t>5.1. RED DE ELECTRICIDAD</t>
        </is>
      </c>
      <c r="C376" s="3" t="inlineStr">
        <is>
          <t>General</t>
        </is>
      </c>
      <c r="D376" s="3" t="inlineStr">
        <is>
          <t>CINTA GALVANIZADA PERFORADA 10MTS</t>
        </is>
      </c>
      <c r="E376" s="3" t="inlineStr">
        <is>
          <t>HERR0052</t>
        </is>
      </c>
      <c r="F376" s="3" t="inlineStr">
        <is>
          <t>UN</t>
        </is>
      </c>
      <c r="G376" s="4" t="n">
        <v>0.15</v>
      </c>
      <c r="H376" s="5" t="n">
        <v>13450</v>
      </c>
      <c r="I376" s="6">
        <f>IF(OR(G376="",H376=""),"",G376*H376)</f>
        <v/>
      </c>
    </row>
    <row r="377">
      <c r="A377" s="2" t="inlineStr">
        <is>
          <t>Estándar - Canalizado Eléctrico</t>
        </is>
      </c>
      <c r="B377" s="3" t="inlineStr">
        <is>
          <t>5.1. RED DE ELECTRICIDAD</t>
        </is>
      </c>
      <c r="C377" s="3" t="inlineStr">
        <is>
          <t>General</t>
        </is>
      </c>
      <c r="D377" s="3" t="inlineStr">
        <is>
          <t>TORNILLO CAB/LENT PTA FINA 8 X 1/2 in</t>
        </is>
      </c>
      <c r="E377" s="3" t="inlineStr">
        <is>
          <t>FIJA0142</t>
        </is>
      </c>
      <c r="F377" s="3" t="inlineStr">
        <is>
          <t>UN</t>
        </is>
      </c>
      <c r="G377" s="4" t="n">
        <v>20</v>
      </c>
      <c r="H377" s="5" t="n">
        <v>6</v>
      </c>
      <c r="I377" s="6">
        <f>IF(OR(G377="",H377=""),"",G377*H377)</f>
        <v/>
      </c>
    </row>
    <row r="378">
      <c r="A378" s="2" t="inlineStr">
        <is>
          <t>Estándar - Canalizado Eléctrico</t>
        </is>
      </c>
      <c r="B378" s="3" t="inlineStr">
        <is>
          <t>5.1. RED DE ELECTRICIDAD</t>
        </is>
      </c>
      <c r="C378" s="3" t="inlineStr">
        <is>
          <t>General</t>
        </is>
      </c>
      <c r="D378" s="3" t="inlineStr">
        <is>
          <t>ABRAZADERA 1/2  20MM ELECTROGALV</t>
        </is>
      </c>
      <c r="E378" s="3" t="inlineStr">
        <is>
          <t>ELEC0460</t>
        </is>
      </c>
      <c r="F378" s="3" t="inlineStr">
        <is>
          <t>UN</t>
        </is>
      </c>
      <c r="G378" s="4" t="n">
        <v>200</v>
      </c>
      <c r="H378" s="5" t="n">
        <v>67.41</v>
      </c>
      <c r="I378" s="6">
        <f>IF(OR(G378="",H378=""),"",G378*H378)</f>
        <v/>
      </c>
    </row>
    <row r="379">
      <c r="A379" s="2" t="inlineStr">
        <is>
          <t>Estándar - Canalizado Eléctrico</t>
        </is>
      </c>
      <c r="B379" s="3" t="inlineStr">
        <is>
          <t>5.1. RED DE ELECTRICIDAD</t>
        </is>
      </c>
      <c r="C379" s="3" t="inlineStr">
        <is>
          <t>General</t>
        </is>
      </c>
      <c r="D379" s="3" t="inlineStr">
        <is>
          <t>TORNILLO VOLC/MAD 6 x 3/4 in PTA FINA</t>
        </is>
      </c>
      <c r="E379" s="3" t="inlineStr">
        <is>
          <t>FIJA0147</t>
        </is>
      </c>
      <c r="F379" s="3" t="inlineStr">
        <is>
          <t>UN</t>
        </is>
      </c>
      <c r="G379" s="4" t="n">
        <v>400</v>
      </c>
      <c r="H379" s="5" t="n">
        <v>5</v>
      </c>
      <c r="I379" s="6">
        <f>IF(OR(G379="",H379=""),"",G379*H379)</f>
        <v/>
      </c>
    </row>
    <row r="380">
      <c r="A380" s="2" t="inlineStr">
        <is>
          <t>Estándar - Canalizado Eléctrico</t>
        </is>
      </c>
      <c r="B380" s="3" t="inlineStr">
        <is>
          <t>5.1. RED DE ELECTRICIDAD</t>
        </is>
      </c>
      <c r="C380" s="3" t="inlineStr">
        <is>
          <t>General</t>
        </is>
      </c>
      <c r="D380" s="3" t="inlineStr">
        <is>
          <t>PASTA SOLDAR LATA 250 GRS</t>
        </is>
      </c>
      <c r="E380" s="3" t="inlineStr">
        <is>
          <t>HERR0379</t>
        </is>
      </c>
      <c r="F380" s="3" t="inlineStr">
        <is>
          <t>UN</t>
        </is>
      </c>
      <c r="G380" s="4" t="n">
        <v>0.5</v>
      </c>
      <c r="H380" s="5" t="n">
        <v>3593.04</v>
      </c>
      <c r="I380" s="6">
        <f>IF(OR(G380="",H380=""),"",G380*H380)</f>
        <v/>
      </c>
    </row>
    <row r="381">
      <c r="A381" s="2" t="inlineStr">
        <is>
          <t>Estándar - Canalizado Eléctrico</t>
        </is>
      </c>
      <c r="B381" s="3" t="inlineStr">
        <is>
          <t>5.1. RED DE ELECTRICIDAD</t>
        </is>
      </c>
      <c r="C381" s="3" t="inlineStr">
        <is>
          <t>General</t>
        </is>
      </c>
      <c r="D381" s="3" t="inlineStr">
        <is>
          <t>SOLDADURA ROLLO 50% ESTAÑO</t>
        </is>
      </c>
      <c r="E381" s="3" t="inlineStr">
        <is>
          <t>HERR0224</t>
        </is>
      </c>
      <c r="F381" s="3" t="inlineStr">
        <is>
          <t>UN</t>
        </is>
      </c>
      <c r="G381" s="4" t="n">
        <v>0.5</v>
      </c>
      <c r="H381" s="5" t="n">
        <v>18114.22</v>
      </c>
      <c r="I381" s="6">
        <f>IF(OR(G381="",H381=""),"",G381*H381)</f>
        <v/>
      </c>
    </row>
    <row r="382">
      <c r="A382" s="2" t="inlineStr">
        <is>
          <t>Estándar - Canalizado Eléctrico</t>
        </is>
      </c>
      <c r="B382" s="3" t="inlineStr">
        <is>
          <t>5.1. RED DE ELECTRICIDAD</t>
        </is>
      </c>
      <c r="C382" s="3" t="inlineStr">
        <is>
          <t>General</t>
        </is>
      </c>
      <c r="D382" s="3" t="inlineStr">
        <is>
          <t>CARTUCHO YANES GAS BUTANO (190GRS)</t>
        </is>
      </c>
      <c r="E382" s="3" t="inlineStr">
        <is>
          <t>EQPO0005</t>
        </is>
      </c>
      <c r="F382" s="3" t="inlineStr">
        <is>
          <t>UN</t>
        </is>
      </c>
      <c r="G382" s="4" t="n">
        <v>2</v>
      </c>
      <c r="H382" s="5" t="n">
        <v>1458.57</v>
      </c>
      <c r="I382" s="6">
        <f>IF(OR(G382="",H382=""),"",G382*H382)</f>
        <v/>
      </c>
    </row>
    <row r="383">
      <c r="A383" s="2" t="inlineStr">
        <is>
          <t>Estándar - Canalizado Eléctrico</t>
        </is>
      </c>
      <c r="B383" s="3" t="inlineStr">
        <is>
          <t>5.1. RED DE ELECTRICIDAD</t>
        </is>
      </c>
      <c r="C383" s="3" t="inlineStr">
        <is>
          <t>General</t>
        </is>
      </c>
      <c r="D383" s="3" t="inlineStr">
        <is>
          <t>AMARRA PLASTICA BLANCA 4,8X287MM</t>
        </is>
      </c>
      <c r="E383" s="3" t="inlineStr">
        <is>
          <t>HERR0008</t>
        </is>
      </c>
      <c r="F383" s="3" t="inlineStr">
        <is>
          <t>UN</t>
        </is>
      </c>
      <c r="G383" s="4" t="n">
        <v>10</v>
      </c>
      <c r="H383" s="5" t="n">
        <v>41.92</v>
      </c>
      <c r="I383" s="6">
        <f>IF(OR(G383="",H383=""),"",G383*H383)</f>
        <v/>
      </c>
    </row>
    <row r="384">
      <c r="A384" s="2" t="inlineStr">
        <is>
          <t>Estándar - Canalizado Eléctrico</t>
        </is>
      </c>
      <c r="B384" s="3" t="inlineStr">
        <is>
          <t>5.1. RED DE ELECTRICIDAD</t>
        </is>
      </c>
      <c r="C384" s="3" t="inlineStr">
        <is>
          <t>General</t>
        </is>
      </c>
      <c r="D384" s="3" t="inlineStr">
        <is>
          <t>TERMINAL FERRULE 1,5MM 14AWG GRIS</t>
        </is>
      </c>
      <c r="E384" s="3" t="inlineStr">
        <is>
          <t>ELEC0318</t>
        </is>
      </c>
      <c r="F384" s="3" t="inlineStr">
        <is>
          <t>UN</t>
        </is>
      </c>
      <c r="G384" s="4" t="n">
        <v>250</v>
      </c>
      <c r="H384" s="5" t="n">
        <v>9.52</v>
      </c>
      <c r="I384" s="6">
        <f>IF(OR(G384="",H384=""),"",G384*H384)</f>
        <v/>
      </c>
    </row>
    <row r="385">
      <c r="A385" s="2" t="inlineStr">
        <is>
          <t>Estándar - Canalizado Eléctrico</t>
        </is>
      </c>
      <c r="B385" s="3" t="inlineStr">
        <is>
          <t>5.1. RED DE ELECTRICIDAD</t>
        </is>
      </c>
      <c r="C385" s="3" t="inlineStr">
        <is>
          <t>General</t>
        </is>
      </c>
      <c r="D385" s="3" t="inlineStr">
        <is>
          <t>TERMINAL FERRULE 2,5MM 14AWG GRIS</t>
        </is>
      </c>
      <c r="E385" s="3" t="inlineStr">
        <is>
          <t>ELEC0229</t>
        </is>
      </c>
      <c r="F385" s="3" t="inlineStr">
        <is>
          <t>UN</t>
        </is>
      </c>
      <c r="G385" s="4" t="n">
        <v>380</v>
      </c>
      <c r="H385" s="5" t="n">
        <v>8.94</v>
      </c>
      <c r="I385" s="6">
        <f>IF(OR(G385="",H385=""),"",G385*H385)</f>
        <v/>
      </c>
    </row>
    <row r="386">
      <c r="A386" s="2" t="inlineStr">
        <is>
          <t>Estándar - Canalizado Eléctrico</t>
        </is>
      </c>
      <c r="B386" s="3" t="inlineStr">
        <is>
          <t>5.1. RED DE ELECTRICIDAD</t>
        </is>
      </c>
      <c r="C386" s="3" t="inlineStr">
        <is>
          <t>General</t>
        </is>
      </c>
      <c r="D386" s="3" t="inlineStr">
        <is>
          <t>TERMINAL FERRULE 6MM 10AWG VERDE</t>
        </is>
      </c>
      <c r="E386" s="3" t="inlineStr">
        <is>
          <t>ELEC0316</t>
        </is>
      </c>
      <c r="F386" s="3" t="inlineStr">
        <is>
          <t>UN</t>
        </is>
      </c>
      <c r="G386" s="4" t="n">
        <v>10</v>
      </c>
      <c r="H386" s="5" t="n">
        <v>33.43</v>
      </c>
      <c r="I386" s="6">
        <f>IF(OR(G386="",H386=""),"",G386*H386)</f>
        <v/>
      </c>
    </row>
    <row r="387">
      <c r="A387" t="inlineStr"/>
      <c r="B387" t="inlineStr"/>
      <c r="C387" t="inlineStr"/>
      <c r="D387" s="7" t="inlineStr">
        <is>
          <t>Subtotal Estándar - Canalizado Eléctrico</t>
        </is>
      </c>
      <c r="E387" t="inlineStr"/>
      <c r="F387" t="inlineStr"/>
      <c r="G387" t="inlineStr"/>
      <c r="H387" t="inlineStr"/>
      <c r="I387" s="8">
        <f>SUM(I361:I386)</f>
        <v/>
      </c>
    </row>
    <row r="388">
      <c r="A388" s="2" t="inlineStr">
        <is>
          <t>Estándar - Empalme</t>
        </is>
      </c>
      <c r="B388" s="3" t="inlineStr">
        <is>
          <t>5.1. RED DE ELECTRICIDAD</t>
        </is>
      </c>
      <c r="C388" s="3" t="inlineStr">
        <is>
          <t>General</t>
        </is>
      </c>
      <c r="D388" s="3" t="inlineStr">
        <is>
          <t>CAJA EMPALME PLASTICA 7010-PMD DIN HORIZONTAL</t>
        </is>
      </c>
      <c r="E388" s="3" t="inlineStr">
        <is>
          <t>ELEC0458</t>
        </is>
      </c>
      <c r="F388" s="3" t="inlineStr">
        <is>
          <t>UN</t>
        </is>
      </c>
      <c r="G388" s="4" t="n">
        <v>1</v>
      </c>
      <c r="H388" s="5" t="n">
        <v>16751</v>
      </c>
      <c r="I388" s="6">
        <f>IF(OR(G388="",H388=""),"",G388*H388)</f>
        <v/>
      </c>
    </row>
    <row r="389">
      <c r="A389" s="2" t="inlineStr">
        <is>
          <t>Estándar - Empalme</t>
        </is>
      </c>
      <c r="B389" s="3" t="inlineStr">
        <is>
          <t>5.1. RED DE ELECTRICIDAD</t>
        </is>
      </c>
      <c r="C389" s="3" t="inlineStr">
        <is>
          <t>General</t>
        </is>
      </c>
      <c r="D389" s="3" t="inlineStr">
        <is>
          <t>CONDUIT PVC NARANJO 025X3MTS</t>
        </is>
      </c>
      <c r="E389" s="3" t="inlineStr">
        <is>
          <t>ELEC0047</t>
        </is>
      </c>
      <c r="F389" s="3" t="inlineStr">
        <is>
          <t>UN</t>
        </is>
      </c>
      <c r="G389" s="4" t="n">
        <v>0.5</v>
      </c>
      <c r="H389" s="5" t="n">
        <v>776.16</v>
      </c>
      <c r="I389" s="6">
        <f>IF(OR(G389="",H389=""),"",G389*H389)</f>
        <v/>
      </c>
    </row>
    <row r="390">
      <c r="A390" s="2" t="inlineStr">
        <is>
          <t>Estándar - Empalme</t>
        </is>
      </c>
      <c r="B390" s="3" t="inlineStr">
        <is>
          <t>5.1. RED DE ELECTRICIDAD</t>
        </is>
      </c>
      <c r="C390" s="3" t="inlineStr">
        <is>
          <t>General</t>
        </is>
      </c>
      <c r="D390" s="3" t="inlineStr">
        <is>
          <t>CONDUIT PVC NARANJO 032X6MTS</t>
        </is>
      </c>
      <c r="E390" s="3" t="inlineStr">
        <is>
          <t>ELEC0247</t>
        </is>
      </c>
      <c r="F390" s="3" t="inlineStr">
        <is>
          <t>UN</t>
        </is>
      </c>
      <c r="G390" s="4" t="n">
        <v>0.5</v>
      </c>
      <c r="H390" s="5" t="n">
        <v>1983.31</v>
      </c>
      <c r="I390" s="6">
        <f>IF(OR(G390="",H390=""),"",G390*H390)</f>
        <v/>
      </c>
    </row>
    <row r="391">
      <c r="A391" s="2" t="inlineStr">
        <is>
          <t>Estándar - Empalme</t>
        </is>
      </c>
      <c r="B391" s="3" t="inlineStr">
        <is>
          <t>5.1. RED DE ELECTRICIDAD</t>
        </is>
      </c>
      <c r="C391" s="3" t="inlineStr">
        <is>
          <t>General</t>
        </is>
      </c>
      <c r="D391" s="3" t="inlineStr">
        <is>
          <t>SALIDA CAJA CONDUIT 32MM</t>
        </is>
      </c>
      <c r="E391" s="3" t="inlineStr">
        <is>
          <t>ELEC0387</t>
        </is>
      </c>
      <c r="F391" s="3" t="inlineStr">
        <is>
          <t>UN</t>
        </is>
      </c>
      <c r="G391" s="4" t="n">
        <v>1</v>
      </c>
      <c r="H391" s="5" t="n">
        <v>128.96</v>
      </c>
      <c r="I391" s="6">
        <f>IF(OR(G391="",H391=""),"",G391*H391)</f>
        <v/>
      </c>
    </row>
    <row r="392">
      <c r="A392" s="2" t="inlineStr">
        <is>
          <t>Estándar - Empalme</t>
        </is>
      </c>
      <c r="B392" s="3" t="inlineStr">
        <is>
          <t>5.1. RED DE ELECTRICIDAD</t>
        </is>
      </c>
      <c r="C392" s="3" t="inlineStr">
        <is>
          <t>General</t>
        </is>
      </c>
      <c r="D392" s="3" t="inlineStr">
        <is>
          <t>SALIDA CAJA CONDUIT 25MM - 3/4</t>
        </is>
      </c>
      <c r="E392" s="3" t="inlineStr">
        <is>
          <t>ELEC0198</t>
        </is>
      </c>
      <c r="F392" s="3" t="inlineStr">
        <is>
          <t>UN</t>
        </is>
      </c>
      <c r="G392" s="4" t="n">
        <v>1</v>
      </c>
      <c r="H392" s="5" t="n">
        <v>56.05</v>
      </c>
      <c r="I392" s="6">
        <f>IF(OR(G392="",H392=""),"",G392*H392)</f>
        <v/>
      </c>
    </row>
    <row r="393">
      <c r="A393" s="2" t="inlineStr">
        <is>
          <t>Estándar - Empalme</t>
        </is>
      </c>
      <c r="B393" s="3" t="inlineStr">
        <is>
          <t>5.1. RED DE ELECTRICIDAD</t>
        </is>
      </c>
      <c r="C393" s="3" t="inlineStr">
        <is>
          <t>General</t>
        </is>
      </c>
      <c r="D393" s="3" t="inlineStr">
        <is>
          <t>CURVA PVC 3/4  (25mm) 90 G. CEM.</t>
        </is>
      </c>
      <c r="E393" s="3" t="inlineStr">
        <is>
          <t>ELEC0200</t>
        </is>
      </c>
      <c r="F393" s="3" t="inlineStr">
        <is>
          <t>UN</t>
        </is>
      </c>
      <c r="G393" s="4" t="n">
        <v>1</v>
      </c>
      <c r="H393" s="5" t="n">
        <v>166.74</v>
      </c>
      <c r="I393" s="6">
        <f>IF(OR(G393="",H393=""),"",G393*H393)</f>
        <v/>
      </c>
    </row>
    <row r="394">
      <c r="A394" s="2" t="inlineStr">
        <is>
          <t>Estándar - Empalme</t>
        </is>
      </c>
      <c r="B394" s="3" t="inlineStr">
        <is>
          <t>5.1. RED DE ELECTRICIDAD</t>
        </is>
      </c>
      <c r="C394" s="3" t="inlineStr">
        <is>
          <t>General</t>
        </is>
      </c>
      <c r="D394" s="3" t="inlineStr">
        <is>
          <t>CURVA PVC 32MM 90°</t>
        </is>
      </c>
      <c r="E394" s="3" t="inlineStr">
        <is>
          <t>ELEC0378</t>
        </is>
      </c>
      <c r="F394" s="3" t="inlineStr">
        <is>
          <t>UN</t>
        </is>
      </c>
      <c r="G394" s="4" t="n">
        <v>1</v>
      </c>
      <c r="H394" s="5" t="n">
        <v>238.03</v>
      </c>
      <c r="I394" s="6">
        <f>IF(OR(G394="",H394=""),"",G394*H394)</f>
        <v/>
      </c>
    </row>
    <row r="395">
      <c r="A395" t="inlineStr"/>
      <c r="B395" t="inlineStr"/>
      <c r="C395" t="inlineStr"/>
      <c r="D395" s="7" t="inlineStr">
        <is>
          <t>Subtotal Estándar - Empalme</t>
        </is>
      </c>
      <c r="E395" t="inlineStr"/>
      <c r="F395" t="inlineStr"/>
      <c r="G395" t="inlineStr"/>
      <c r="H395" t="inlineStr"/>
      <c r="I395" s="8">
        <f>SUM(I388:I394)</f>
        <v/>
      </c>
    </row>
    <row r="396">
      <c r="A396" s="2" t="inlineStr">
        <is>
          <t>Enchufes e Interruptores</t>
        </is>
      </c>
      <c r="B396" s="3" t="inlineStr">
        <is>
          <t>5.1. RED DE ELECTRICIDAD</t>
        </is>
      </c>
      <c r="C396" s="3" t="inlineStr">
        <is>
          <t>General</t>
        </is>
      </c>
      <c r="D396" s="3" t="inlineStr">
        <is>
          <t>CAJA EMPOTRABLE PLASTICA 3P RECTANGULAR AZUL</t>
        </is>
      </c>
      <c r="E396" s="3" t="inlineStr">
        <is>
          <t>ELEC0164</t>
        </is>
      </c>
      <c r="F396" s="3" t="inlineStr">
        <is>
          <t>UN</t>
        </is>
      </c>
      <c r="G396" s="4" t="n">
        <v>55</v>
      </c>
      <c r="H396" s="5" t="n">
        <v>1250.29</v>
      </c>
      <c r="I396" s="6">
        <f>IF(OR(G396="",H396=""),"",G396*H396)</f>
        <v/>
      </c>
    </row>
    <row r="397">
      <c r="A397" s="2" t="inlineStr">
        <is>
          <t>Enchufes e Interruptores</t>
        </is>
      </c>
      <c r="B397" s="3" t="inlineStr">
        <is>
          <t>5.1. RED DE ELECTRICIDAD</t>
        </is>
      </c>
      <c r="C397" s="3" t="inlineStr">
        <is>
          <t>General</t>
        </is>
      </c>
      <c r="D397" s="3" t="inlineStr">
        <is>
          <t>PLACA CIEGA SINTHESI S17 BLANCO</t>
        </is>
      </c>
      <c r="E397" s="3" t="inlineStr">
        <is>
          <t>ELEC0418</t>
        </is>
      </c>
      <c r="F397" s="3" t="inlineStr">
        <is>
          <t>UN</t>
        </is>
      </c>
      <c r="G397" s="4" t="n">
        <v>13</v>
      </c>
      <c r="H397" s="5" t="n">
        <v>513.01</v>
      </c>
      <c r="I397" s="6">
        <f>IF(OR(G397="",H397=""),"",G397*H397)</f>
        <v/>
      </c>
    </row>
    <row r="398">
      <c r="A398" s="2" t="inlineStr">
        <is>
          <t>Enchufes e Interruptores</t>
        </is>
      </c>
      <c r="B398" s="3" t="inlineStr">
        <is>
          <t>5.1. RED DE ELECTRICIDAD</t>
        </is>
      </c>
      <c r="C398" s="3" t="inlineStr">
        <is>
          <t>General</t>
        </is>
      </c>
      <c r="D398" s="3" t="inlineStr">
        <is>
          <t>TAPA CIEGA PLASTICA RIGIDA C/TORNILLOS</t>
        </is>
      </c>
      <c r="E398" s="3" t="inlineStr">
        <is>
          <t>ELEC0320</t>
        </is>
      </c>
      <c r="F398" s="3" t="inlineStr">
        <is>
          <t>UN</t>
        </is>
      </c>
      <c r="G398" s="4" t="n">
        <v>7</v>
      </c>
      <c r="H398" s="5" t="n">
        <v>90.87</v>
      </c>
      <c r="I398" s="6">
        <f>IF(OR(G398="",H398=""),"",G398*H398)</f>
        <v/>
      </c>
    </row>
    <row r="399">
      <c r="A399" s="2" t="inlineStr">
        <is>
          <t>Enchufes e Interruptores</t>
        </is>
      </c>
      <c r="B399" s="3" t="inlineStr">
        <is>
          <t>5.1. RED DE ELECTRICIDAD</t>
        </is>
      </c>
      <c r="C399" s="3" t="inlineStr">
        <is>
          <t>General</t>
        </is>
      </c>
      <c r="D399" s="3" t="inlineStr">
        <is>
          <t>CAJA ESTANCA UNIVERSAL</t>
        </is>
      </c>
      <c r="E399" s="3" t="inlineStr">
        <is>
          <t>ELEC0303</t>
        </is>
      </c>
      <c r="F399" s="3" t="inlineStr">
        <is>
          <t>UN</t>
        </is>
      </c>
      <c r="G399" s="4" t="n">
        <v>1</v>
      </c>
      <c r="H399" s="5" t="n">
        <v>1695.19</v>
      </c>
      <c r="I399" s="6">
        <f>IF(OR(G399="",H399=""),"",G399*H399)</f>
        <v/>
      </c>
    </row>
    <row r="400">
      <c r="A400" s="2" t="inlineStr">
        <is>
          <t>Enchufes e Interruptores</t>
        </is>
      </c>
      <c r="B400" s="3" t="inlineStr">
        <is>
          <t>5.1. RED DE ELECTRICIDAD</t>
        </is>
      </c>
      <c r="C400" s="3" t="inlineStr">
        <is>
          <t>General</t>
        </is>
      </c>
      <c r="D400" s="3" t="inlineStr">
        <is>
          <t>PLACA SIMPLE SINTHESI S17 BLANCO</t>
        </is>
      </c>
      <c r="E400" s="3" t="inlineStr">
        <is>
          <t>ELEC0417</t>
        </is>
      </c>
      <c r="F400" s="3" t="inlineStr">
        <is>
          <t>UN</t>
        </is>
      </c>
      <c r="G400" s="4" t="n">
        <v>6</v>
      </c>
      <c r="H400" s="5" t="n">
        <v>520.35</v>
      </c>
      <c r="I400" s="6">
        <f>IF(OR(G400="",H400=""),"",G400*H400)</f>
        <v/>
      </c>
    </row>
    <row r="401">
      <c r="A401" s="2" t="inlineStr">
        <is>
          <t>Enchufes e Interruptores</t>
        </is>
      </c>
      <c r="B401" s="3" t="inlineStr">
        <is>
          <t>5.1. RED DE ELECTRICIDAD</t>
        </is>
      </c>
      <c r="C401" s="3" t="inlineStr">
        <is>
          <t>General</t>
        </is>
      </c>
      <c r="D401" s="3" t="inlineStr">
        <is>
          <t>PLACA DOBLE S17 BLANCO</t>
        </is>
      </c>
      <c r="E401" s="3" t="inlineStr">
        <is>
          <t>ELEC0123</t>
        </is>
      </c>
      <c r="F401" s="3" t="inlineStr">
        <is>
          <t>UN</t>
        </is>
      </c>
      <c r="G401" s="4" t="n">
        <v>13</v>
      </c>
      <c r="H401" s="5" t="n">
        <v>517.0700000000001</v>
      </c>
      <c r="I401" s="6">
        <f>IF(OR(G401="",H401=""),"",G401*H401)</f>
        <v/>
      </c>
    </row>
    <row r="402">
      <c r="A402" s="2" t="inlineStr">
        <is>
          <t>Enchufes e Interruptores</t>
        </is>
      </c>
      <c r="B402" s="3" t="inlineStr">
        <is>
          <t>5.1. RED DE ELECTRICIDAD</t>
        </is>
      </c>
      <c r="C402" s="3" t="inlineStr">
        <is>
          <t>General</t>
        </is>
      </c>
      <c r="D402" s="3" t="inlineStr">
        <is>
          <t>PLACA TRIPLE S17 BLANCO</t>
        </is>
      </c>
      <c r="E402" s="3" t="inlineStr">
        <is>
          <t>ELEC0124</t>
        </is>
      </c>
      <c r="F402" s="3" t="inlineStr">
        <is>
          <t>UN</t>
        </is>
      </c>
      <c r="G402" s="4" t="n">
        <v>1</v>
      </c>
      <c r="H402" s="5" t="n">
        <v>789.63</v>
      </c>
      <c r="I402" s="6">
        <f>IF(OR(G402="",H402=""),"",G402*H402)</f>
        <v/>
      </c>
    </row>
    <row r="403">
      <c r="A403" s="2" t="inlineStr">
        <is>
          <t>Enchufes e Interruptores</t>
        </is>
      </c>
      <c r="B403" s="3" t="inlineStr">
        <is>
          <t>5.1. RED DE ELECTRICIDAD</t>
        </is>
      </c>
      <c r="C403" s="3" t="inlineStr">
        <is>
          <t>General</t>
        </is>
      </c>
      <c r="D403" s="3" t="inlineStr">
        <is>
          <t>INTERRUPTOR 9/12 16A 250V SINTHESI S17 BLANCO</t>
        </is>
      </c>
      <c r="E403" s="3" t="inlineStr">
        <is>
          <t>ELEC0416</t>
        </is>
      </c>
      <c r="F403" s="3" t="inlineStr">
        <is>
          <t>UN</t>
        </is>
      </c>
      <c r="G403" s="4" t="n">
        <v>10</v>
      </c>
      <c r="H403" s="5" t="n">
        <v>684.96</v>
      </c>
      <c r="I403" s="6">
        <f>IF(OR(G403="",H403=""),"",G403*H403)</f>
        <v/>
      </c>
    </row>
    <row r="404">
      <c r="A404" s="2" t="inlineStr">
        <is>
          <t>Enchufes e Interruptores</t>
        </is>
      </c>
      <c r="B404" s="3" t="inlineStr">
        <is>
          <t>5.1. RED DE ELECTRICIDAD</t>
        </is>
      </c>
      <c r="C404" s="3" t="inlineStr">
        <is>
          <t>General</t>
        </is>
      </c>
      <c r="D404" s="3" t="inlineStr">
        <is>
          <t>CONMUTADOR 9/24 16A 250V SINTHESI 17 BLANCO</t>
        </is>
      </c>
      <c r="E404" s="3" t="inlineStr">
        <is>
          <t>ELEC0287</t>
        </is>
      </c>
      <c r="F404" s="3" t="inlineStr">
        <is>
          <t>UN</t>
        </is>
      </c>
      <c r="G404" s="4" t="n">
        <v>2</v>
      </c>
      <c r="H404" s="5" t="n">
        <v>946.23</v>
      </c>
      <c r="I404" s="6">
        <f>IF(OR(G404="",H404=""),"",G404*H404)</f>
        <v/>
      </c>
    </row>
    <row r="405">
      <c r="A405" s="2" t="inlineStr">
        <is>
          <t>Enchufes e Interruptores</t>
        </is>
      </c>
      <c r="B405" s="3" t="inlineStr">
        <is>
          <t>5.1. RED DE ELECTRICIDAD</t>
        </is>
      </c>
      <c r="C405" s="3" t="inlineStr">
        <is>
          <t>General</t>
        </is>
      </c>
      <c r="D405" s="3" t="inlineStr">
        <is>
          <t>TOMACORRIENTE BIPASO 10/16A 250V 2P+T S17 BLANCO</t>
        </is>
      </c>
      <c r="E405" s="3" t="inlineStr">
        <is>
          <t>ELEC0130</t>
        </is>
      </c>
      <c r="F405" s="3" t="inlineStr">
        <is>
          <t>UN</t>
        </is>
      </c>
      <c r="G405" s="4" t="n">
        <v>25</v>
      </c>
      <c r="H405" s="5" t="n">
        <v>1337</v>
      </c>
      <c r="I405" s="6">
        <f>IF(OR(G405="",H405=""),"",G405*H405)</f>
        <v/>
      </c>
    </row>
    <row r="406">
      <c r="A406" s="2" t="inlineStr">
        <is>
          <t>Enchufes e Interruptores</t>
        </is>
      </c>
      <c r="B406" s="3" t="inlineStr">
        <is>
          <t>5.1. RED DE ELECTRICIDAD</t>
        </is>
      </c>
      <c r="C406" s="3" t="inlineStr">
        <is>
          <t>General</t>
        </is>
      </c>
      <c r="D406" s="3" t="inlineStr">
        <is>
          <t>Legacy missing material 1088</t>
        </is>
      </c>
      <c r="E406" s="3" t="inlineStr">
        <is>
          <t>LEGACY-MATERIAL-1088</t>
        </is>
      </c>
      <c r="F406" s="3" t="inlineStr"/>
      <c r="G406" s="4" t="n"/>
      <c r="H406" s="5" t="n">
        <v>0</v>
      </c>
      <c r="I406" s="6">
        <f>IF(OR(G406="",H406=""),"",G406*H406)</f>
        <v/>
      </c>
    </row>
    <row r="407">
      <c r="A407" t="inlineStr"/>
      <c r="B407" t="inlineStr"/>
      <c r="C407" t="inlineStr"/>
      <c r="D407" s="7" t="inlineStr">
        <is>
          <t>Subtotal Enchufes e Interruptores</t>
        </is>
      </c>
      <c r="E407" t="inlineStr"/>
      <c r="F407" t="inlineStr"/>
      <c r="G407" t="inlineStr"/>
      <c r="H407" t="inlineStr"/>
      <c r="I407" s="8">
        <f>SUM(I396:I406)</f>
        <v/>
      </c>
    </row>
    <row r="408">
      <c r="A408" s="2" t="inlineStr">
        <is>
          <t xml:space="preserve">Estándar - Lámparas Interiores y Exteriores </t>
        </is>
      </c>
      <c r="B408" s="3" t="inlineStr">
        <is>
          <t>5.1. RED DE ELECTRICIDAD</t>
        </is>
      </c>
      <c r="C408" s="3" t="inlineStr">
        <is>
          <t>General</t>
        </is>
      </c>
      <c r="D408" s="3" t="inlineStr">
        <is>
          <t>PORTALAMPARA BASE RECTA BLANCO</t>
        </is>
      </c>
      <c r="E408" s="3" t="inlineStr">
        <is>
          <t>ELEC0181</t>
        </is>
      </c>
      <c r="F408" s="3" t="inlineStr">
        <is>
          <t>UN</t>
        </is>
      </c>
      <c r="G408" s="4" t="n">
        <v>5</v>
      </c>
      <c r="H408" s="5" t="n">
        <v>877.4400000000001</v>
      </c>
      <c r="I408" s="6">
        <f>IF(OR(G408="",H408=""),"",G408*H408)</f>
        <v/>
      </c>
    </row>
    <row r="409">
      <c r="A409" s="2" t="inlineStr">
        <is>
          <t xml:space="preserve">Estándar - Lámparas Interiores y Exteriores </t>
        </is>
      </c>
      <c r="B409" s="3" t="inlineStr">
        <is>
          <t>5.1. RED DE ELECTRICIDAD</t>
        </is>
      </c>
      <c r="C409" s="3" t="inlineStr">
        <is>
          <t>General</t>
        </is>
      </c>
      <c r="D409" s="3" t="inlineStr">
        <is>
          <t>TORTUGA LED 15W 6500K BLCA. PLASTICA IP65 ELECTR</t>
        </is>
      </c>
      <c r="E409" s="3" t="inlineStr">
        <is>
          <t>ELEC0760</t>
        </is>
      </c>
      <c r="F409" s="3" t="inlineStr">
        <is>
          <t>UN</t>
        </is>
      </c>
      <c r="G409" s="4" t="n">
        <v>2</v>
      </c>
      <c r="H409" s="5" t="n">
        <v>6518.27</v>
      </c>
      <c r="I409" s="6">
        <f>IF(OR(G409="",H409=""),"",G409*H409)</f>
        <v/>
      </c>
    </row>
    <row r="410">
      <c r="A410" s="2" t="inlineStr">
        <is>
          <t xml:space="preserve">Estándar - Lámparas Interiores y Exteriores </t>
        </is>
      </c>
      <c r="B410" s="3" t="inlineStr">
        <is>
          <t>5.1. RED DE ELECTRICIDAD</t>
        </is>
      </c>
      <c r="C410" s="3" t="inlineStr">
        <is>
          <t>General</t>
        </is>
      </c>
      <c r="D410" s="3" t="inlineStr">
        <is>
          <t>FOCO TORTUGA LED CIRCULAR 12W 6000K 840LM IP54</t>
        </is>
      </c>
      <c r="E410" s="3" t="inlineStr">
        <is>
          <t>ELEC0711</t>
        </is>
      </c>
      <c r="F410" s="3" t="inlineStr">
        <is>
          <t>UN</t>
        </is>
      </c>
      <c r="G410" s="4" t="n">
        <v>2</v>
      </c>
      <c r="H410" s="5" t="n">
        <v>5488.79</v>
      </c>
      <c r="I410" s="6">
        <f>IF(OR(G410="",H410=""),"",G410*H410)</f>
        <v/>
      </c>
    </row>
    <row r="411">
      <c r="A411" s="2" t="inlineStr">
        <is>
          <t xml:space="preserve">Estándar - Lámparas Interiores y Exteriores </t>
        </is>
      </c>
      <c r="B411" s="3" t="inlineStr">
        <is>
          <t>5.1. RED DE ELECTRICIDAD</t>
        </is>
      </c>
      <c r="C411" s="3" t="inlineStr">
        <is>
          <t>General</t>
        </is>
      </c>
      <c r="D411" s="3" t="inlineStr">
        <is>
          <t>TORNILLO VOLC/MAD P/AGUDA CINCADO 6x1. 1/4 in</t>
        </is>
      </c>
      <c r="E411" s="3" t="inlineStr">
        <is>
          <t>FIJA0312</t>
        </is>
      </c>
      <c r="F411" s="3" t="inlineStr">
        <is>
          <t>UN</t>
        </is>
      </c>
      <c r="G411" s="4" t="n">
        <v>20</v>
      </c>
      <c r="H411" s="5" t="n">
        <v>6.74</v>
      </c>
      <c r="I411" s="6">
        <f>IF(OR(G411="",H411=""),"",G411*H411)</f>
        <v/>
      </c>
    </row>
    <row r="412">
      <c r="A412" t="inlineStr"/>
      <c r="B412" t="inlineStr"/>
      <c r="C412" t="inlineStr"/>
      <c r="D412" s="7" t="inlineStr">
        <is>
          <t xml:space="preserve">Subtotal Estándar - Lámparas Interiores y Exteriores </t>
        </is>
      </c>
      <c r="E412" t="inlineStr"/>
      <c r="F412" t="inlineStr"/>
      <c r="G412" t="inlineStr"/>
      <c r="H412" t="inlineStr"/>
      <c r="I412" s="8">
        <f>SUM(I408:I411)</f>
        <v/>
      </c>
    </row>
    <row r="413">
      <c r="A413" s="2" t="inlineStr">
        <is>
          <t>Tablero 24 Modulos</t>
        </is>
      </c>
      <c r="B413" s="3" t="inlineStr">
        <is>
          <t>5.1. RED DE ELECTRICIDAD</t>
        </is>
      </c>
      <c r="C413" s="3" t="inlineStr">
        <is>
          <t>General</t>
        </is>
      </c>
      <c r="D413" s="3" t="inlineStr">
        <is>
          <t>TABLERO EMBUTIDO 24 PUERTOS 2 NIVELES TAPA BLANCA</t>
        </is>
      </c>
      <c r="E413" s="3" t="inlineStr">
        <is>
          <t>ELEC0172</t>
        </is>
      </c>
      <c r="F413" s="3" t="inlineStr">
        <is>
          <t>UN</t>
        </is>
      </c>
      <c r="G413" s="4" t="n">
        <v>1</v>
      </c>
      <c r="H413" s="5" t="n">
        <v>15530.99</v>
      </c>
      <c r="I413" s="6">
        <f>IF(OR(G413="",H413=""),"",G413*H413)</f>
        <v/>
      </c>
    </row>
    <row r="414">
      <c r="A414" s="2" t="inlineStr">
        <is>
          <t>Tablero 24 Modulos</t>
        </is>
      </c>
      <c r="B414" s="3" t="inlineStr">
        <is>
          <t>5.1. RED DE ELECTRICIDAD</t>
        </is>
      </c>
      <c r="C414" s="3" t="inlineStr">
        <is>
          <t>General</t>
        </is>
      </c>
      <c r="D414" s="3" t="inlineStr">
        <is>
          <t>INT AUTOMATICO 1X 10A C 6KA RX3</t>
        </is>
      </c>
      <c r="E414" s="3" t="inlineStr">
        <is>
          <t>ELEC0381</t>
        </is>
      </c>
      <c r="F414" s="3" t="inlineStr">
        <is>
          <t>UN</t>
        </is>
      </c>
      <c r="G414" s="4" t="n">
        <v>1</v>
      </c>
      <c r="H414" s="5" t="n">
        <v>2399.73</v>
      </c>
      <c r="I414" s="6">
        <f>IF(OR(G414="",H414=""),"",G414*H414)</f>
        <v/>
      </c>
    </row>
    <row r="415">
      <c r="A415" s="2" t="inlineStr">
        <is>
          <t>Tablero 24 Modulos</t>
        </is>
      </c>
      <c r="B415" s="3" t="inlineStr">
        <is>
          <t>5.1. RED DE ELECTRICIDAD</t>
        </is>
      </c>
      <c r="C415" s="3" t="inlineStr">
        <is>
          <t>General</t>
        </is>
      </c>
      <c r="D415" s="3" t="inlineStr">
        <is>
          <t>INT AUTOMATICO 1X 16A C 6KA RX3</t>
        </is>
      </c>
      <c r="E415" s="3" t="inlineStr">
        <is>
          <t>ELEC0382</t>
        </is>
      </c>
      <c r="F415" s="3" t="inlineStr">
        <is>
          <t>UN</t>
        </is>
      </c>
      <c r="G415" s="4" t="n">
        <v>2</v>
      </c>
      <c r="H415" s="5" t="n">
        <v>2399.99</v>
      </c>
      <c r="I415" s="6">
        <f>IF(OR(G415="",H415=""),"",G415*H415)</f>
        <v/>
      </c>
    </row>
    <row r="416">
      <c r="A416" s="2" t="inlineStr">
        <is>
          <t>Tablero 24 Modulos</t>
        </is>
      </c>
      <c r="B416" s="3" t="inlineStr">
        <is>
          <t>5.1. RED DE ELECTRICIDAD</t>
        </is>
      </c>
      <c r="C416" s="3" t="inlineStr">
        <is>
          <t>General</t>
        </is>
      </c>
      <c r="D416" s="3" t="inlineStr">
        <is>
          <t>INT AUTOMATICO 2X 25A C 10KA RX3</t>
        </is>
      </c>
      <c r="E416" s="3" t="inlineStr">
        <is>
          <t>ELEC0496</t>
        </is>
      </c>
      <c r="F416" s="3" t="inlineStr">
        <is>
          <t>UN</t>
        </is>
      </c>
      <c r="G416" s="4" t="n">
        <v>1</v>
      </c>
      <c r="H416" s="5" t="n">
        <v>4268.78</v>
      </c>
      <c r="I416" s="6">
        <f>IF(OR(G416="",H416=""),"",G416*H416)</f>
        <v/>
      </c>
    </row>
    <row r="417">
      <c r="A417" s="2" t="inlineStr">
        <is>
          <t>Tablero 24 Modulos</t>
        </is>
      </c>
      <c r="B417" s="3" t="inlineStr">
        <is>
          <t>5.1. RED DE ELECTRICIDAD</t>
        </is>
      </c>
      <c r="C417" s="3" t="inlineStr">
        <is>
          <t>General</t>
        </is>
      </c>
      <c r="D417" s="3" t="inlineStr">
        <is>
          <t>REPARTIDOR BIPOLAR 100A 4MOD LEGR- 400401</t>
        </is>
      </c>
      <c r="E417" s="3" t="inlineStr">
        <is>
          <t>ELEC0539</t>
        </is>
      </c>
      <c r="F417" s="3" t="inlineStr">
        <is>
          <t>UN</t>
        </is>
      </c>
      <c r="G417" s="4" t="n">
        <v>1</v>
      </c>
      <c r="H417" s="5" t="n">
        <v>21994.15</v>
      </c>
      <c r="I417" s="6">
        <f>IF(OR(G417="",H417=""),"",G417*H417)</f>
        <v/>
      </c>
    </row>
    <row r="418">
      <c r="A418" s="2" t="inlineStr">
        <is>
          <t>Tablero 24 Modulos</t>
        </is>
      </c>
      <c r="B418" s="3" t="inlineStr">
        <is>
          <t>5.1. RED DE ELECTRICIDAD</t>
        </is>
      </c>
      <c r="C418" s="3" t="inlineStr">
        <is>
          <t>General</t>
        </is>
      </c>
      <c r="D418" s="3" t="inlineStr">
        <is>
          <t>INTERRUPTOR DIFERENCIAL 2P 25A 30MA AC RX3</t>
        </is>
      </c>
      <c r="E418" s="3" t="inlineStr">
        <is>
          <t>ELEC0511</t>
        </is>
      </c>
      <c r="F418" s="3" t="inlineStr">
        <is>
          <t>UN</t>
        </is>
      </c>
      <c r="G418" s="4" t="n">
        <v>3</v>
      </c>
      <c r="H418" s="5" t="n">
        <v>12959</v>
      </c>
      <c r="I418" s="6">
        <f>IF(OR(G418="",H418=""),"",G418*H418)</f>
        <v/>
      </c>
    </row>
    <row r="419">
      <c r="A419" s="2" t="inlineStr">
        <is>
          <t>Tablero 24 Modulos</t>
        </is>
      </c>
      <c r="B419" s="3" t="inlineStr">
        <is>
          <t>5.1. RED DE ELECTRICIDAD</t>
        </is>
      </c>
      <c r="C419" s="3" t="inlineStr">
        <is>
          <t>General</t>
        </is>
      </c>
      <c r="D419" s="3" t="inlineStr">
        <is>
          <t>BORNE TIERRA VERDE 8 SALIDAS 16MM2 PARA RIEL DIN O BARRA</t>
        </is>
      </c>
      <c r="E419" s="3" t="inlineStr">
        <is>
          <t>ELEC0186</t>
        </is>
      </c>
      <c r="F419" s="3" t="inlineStr">
        <is>
          <t>UN</t>
        </is>
      </c>
      <c r="G419" s="4" t="n">
        <v>1</v>
      </c>
      <c r="H419" s="5" t="n">
        <v>6577.8</v>
      </c>
      <c r="I419" s="6">
        <f>IF(OR(G419="",H419=""),"",G419*H419)</f>
        <v/>
      </c>
    </row>
    <row r="420">
      <c r="A420" t="inlineStr"/>
      <c r="B420" t="inlineStr"/>
      <c r="C420" t="inlineStr"/>
      <c r="D420" s="7" t="inlineStr">
        <is>
          <t>Subtotal Tablero 24 Modulos</t>
        </is>
      </c>
      <c r="E420" t="inlineStr"/>
      <c r="F420" t="inlineStr"/>
      <c r="G420" t="inlineStr"/>
      <c r="H420" t="inlineStr"/>
      <c r="I420" s="8">
        <f>SUM(I413:I419)</f>
        <v/>
      </c>
    </row>
    <row r="421">
      <c r="A421" s="2" t="inlineStr">
        <is>
          <t>Extracción Forzada</t>
        </is>
      </c>
      <c r="B421" s="3" t="inlineStr">
        <is>
          <t>5.2. EXTRACCIÓN FORZADA</t>
        </is>
      </c>
      <c r="C421" s="3" t="inlineStr">
        <is>
          <t>General</t>
        </is>
      </c>
      <c r="D421" s="3" t="inlineStr">
        <is>
          <t>EXTRACTOR RETON 150 BTH CON SENSOR</t>
        </is>
      </c>
      <c r="E421" s="3" t="inlineStr">
        <is>
          <t>VETI0032</t>
        </is>
      </c>
      <c r="F421" s="3" t="inlineStr">
        <is>
          <t>UN</t>
        </is>
      </c>
      <c r="G421" s="4" t="n">
        <v>1</v>
      </c>
      <c r="H421" s="5" t="n">
        <v>48736.84</v>
      </c>
      <c r="I421" s="6">
        <f>IF(OR(G421="",H421=""),"",G421*H421)</f>
        <v/>
      </c>
    </row>
    <row r="422">
      <c r="A422" s="2" t="inlineStr">
        <is>
          <t>Extracción Forzada</t>
        </is>
      </c>
      <c r="B422" s="3" t="inlineStr">
        <is>
          <t>5.2. EXTRACCIÓN FORZADA</t>
        </is>
      </c>
      <c r="C422" s="3" t="inlineStr">
        <is>
          <t>General</t>
        </is>
      </c>
      <c r="D422" s="3" t="inlineStr">
        <is>
          <t>CELOSIA EXTERIOR WIND BAFFLE 100MM BLCA</t>
        </is>
      </c>
      <c r="E422" s="3" t="inlineStr">
        <is>
          <t>VETI0034</t>
        </is>
      </c>
      <c r="F422" s="3" t="inlineStr">
        <is>
          <t>UN</t>
        </is>
      </c>
      <c r="G422" s="4" t="n">
        <v>1</v>
      </c>
      <c r="H422" s="5" t="n">
        <v>8934.93</v>
      </c>
      <c r="I422" s="6">
        <f>IF(OR(G422="",H422=""),"",G422*H422)</f>
        <v/>
      </c>
    </row>
    <row r="423">
      <c r="A423" s="2" t="inlineStr">
        <is>
          <t>Extracción Forzada</t>
        </is>
      </c>
      <c r="B423" s="3" t="inlineStr">
        <is>
          <t>5.2. EXTRACCIÓN FORZADA</t>
        </is>
      </c>
      <c r="C423" s="3" t="inlineStr">
        <is>
          <t>General</t>
        </is>
      </c>
      <c r="D423" s="3" t="inlineStr">
        <is>
          <t>CELOSIA EXTERIOR WIND BAFFLE 150MM BLCA</t>
        </is>
      </c>
      <c r="E423" s="3" t="inlineStr">
        <is>
          <t>VETI0042</t>
        </is>
      </c>
      <c r="F423" s="3" t="inlineStr">
        <is>
          <t>UN</t>
        </is>
      </c>
      <c r="G423" s="4" t="n">
        <v>1</v>
      </c>
      <c r="H423" s="5" t="n">
        <v>11549.28</v>
      </c>
      <c r="I423" s="6">
        <f>IF(OR(G423="",H423=""),"",G423*H423)</f>
        <v/>
      </c>
    </row>
    <row r="424">
      <c r="A424" s="2" t="inlineStr">
        <is>
          <t>Extracción Forzada</t>
        </is>
      </c>
      <c r="B424" s="3" t="inlineStr">
        <is>
          <t>5.2. EXTRACCIÓN FORZADA</t>
        </is>
      </c>
      <c r="C424" s="3" t="inlineStr">
        <is>
          <t>General</t>
        </is>
      </c>
      <c r="D424" s="3" t="inlineStr">
        <is>
          <t>EXTRACTOR RETON 100 BTH 12V INTERRUPTOR</t>
        </is>
      </c>
      <c r="E424" s="3" t="inlineStr">
        <is>
          <t>VETI0028</t>
        </is>
      </c>
      <c r="F424" s="3" t="inlineStr">
        <is>
          <t>UN</t>
        </is>
      </c>
      <c r="G424" s="4" t="n">
        <v>1</v>
      </c>
      <c r="H424" s="5" t="n">
        <v>48304.5</v>
      </c>
      <c r="I424" s="6">
        <f>IF(OR(G424="",H424=""),"",G424*H424)</f>
        <v/>
      </c>
    </row>
    <row r="425">
      <c r="A425" s="2" t="inlineStr">
        <is>
          <t>Extracción Forzada</t>
        </is>
      </c>
      <c r="B425" s="3" t="inlineStr">
        <is>
          <t>5.2. EXTRACCIÓN FORZADA</t>
        </is>
      </c>
      <c r="C425" s="3" t="inlineStr">
        <is>
          <t>General</t>
        </is>
      </c>
      <c r="D425" s="3" t="inlineStr">
        <is>
          <t>DUCTO PLASTICO PARA MURO 100mm X 100mm</t>
        </is>
      </c>
      <c r="E425" s="3" t="inlineStr">
        <is>
          <t>VETI0025</t>
        </is>
      </c>
      <c r="F425" s="3" t="inlineStr">
        <is>
          <t>UN</t>
        </is>
      </c>
      <c r="G425" s="4" t="n">
        <v>1</v>
      </c>
      <c r="H425" s="5" t="n">
        <v>2631.06</v>
      </c>
      <c r="I425" s="6">
        <f>IF(OR(G425="",H425=""),"",G425*H425)</f>
        <v/>
      </c>
    </row>
    <row r="426">
      <c r="A426" t="inlineStr"/>
      <c r="B426" t="inlineStr"/>
      <c r="C426" t="inlineStr"/>
      <c r="D426" s="7" t="inlineStr">
        <is>
          <t>Subtotal Extracción Forzada</t>
        </is>
      </c>
      <c r="E426" t="inlineStr"/>
      <c r="F426" t="inlineStr"/>
      <c r="G426" t="inlineStr"/>
      <c r="H426" t="inlineStr"/>
      <c r="I426" s="8">
        <f>SUM(I421:I425)</f>
        <v/>
      </c>
    </row>
    <row r="427">
      <c r="A427" s="2" t="inlineStr">
        <is>
          <t>M-01 Mesón Base Lavaplatos</t>
        </is>
      </c>
      <c r="B427" s="3" t="inlineStr">
        <is>
          <t>6.2. MUEBLES DE COCINA</t>
        </is>
      </c>
      <c r="C427" s="3" t="inlineStr">
        <is>
          <t>General</t>
        </is>
      </c>
      <c r="D427" s="3" t="inlineStr">
        <is>
          <t>MUEBLES LAVAPLATOS M01 PUELO</t>
        </is>
      </c>
      <c r="E427" s="3" t="inlineStr">
        <is>
          <t>MUEB0049</t>
        </is>
      </c>
      <c r="F427" s="3" t="inlineStr">
        <is>
          <t>UN</t>
        </is>
      </c>
      <c r="G427" s="4" t="n">
        <v>1</v>
      </c>
      <c r="H427" s="5" t="n">
        <v>48470</v>
      </c>
      <c r="I427" s="6">
        <f>IF(OR(G427="",H427=""),"",G427*H427)</f>
        <v/>
      </c>
    </row>
    <row r="428">
      <c r="A428" t="inlineStr"/>
      <c r="B428" t="inlineStr"/>
      <c r="C428" t="inlineStr"/>
      <c r="D428" s="7" t="inlineStr">
        <is>
          <t>Subtotal M-01 Mesón Base Lavaplatos</t>
        </is>
      </c>
      <c r="E428" t="inlineStr"/>
      <c r="F428" t="inlineStr"/>
      <c r="G428" t="inlineStr"/>
      <c r="H428" t="inlineStr"/>
      <c r="I428" s="8">
        <f>SUM(I427:I427)</f>
        <v/>
      </c>
    </row>
    <row r="429">
      <c r="A429" s="2" t="inlineStr">
        <is>
          <t xml:space="preserve">Closet Estándar </t>
        </is>
      </c>
      <c r="B429" s="3" t="inlineStr">
        <is>
          <t>6.3. MUEBLES DE DORMITORIO</t>
        </is>
      </c>
      <c r="C429" s="3" t="inlineStr">
        <is>
          <t>General</t>
        </is>
      </c>
      <c r="D429" s="3" t="inlineStr">
        <is>
          <t>MUEBLE M03 PUELO</t>
        </is>
      </c>
      <c r="E429" s="3" t="inlineStr">
        <is>
          <t>MUEB0051</t>
        </is>
      </c>
      <c r="F429" s="3" t="inlineStr">
        <is>
          <t>UN</t>
        </is>
      </c>
      <c r="G429" s="4" t="n">
        <v>2</v>
      </c>
      <c r="H429" s="5" t="n">
        <v>45000</v>
      </c>
      <c r="I429" s="6">
        <f>IF(OR(G429="",H429=""),"",G429*H429)</f>
        <v/>
      </c>
    </row>
    <row r="430">
      <c r="A430" s="2" t="inlineStr">
        <is>
          <t xml:space="preserve">Closet Estándar </t>
        </is>
      </c>
      <c r="B430" s="3" t="inlineStr">
        <is>
          <t>6.3. MUEBLES DE DORMITORIO</t>
        </is>
      </c>
      <c r="C430" s="3" t="inlineStr">
        <is>
          <t>General</t>
        </is>
      </c>
      <c r="D430" s="3" t="inlineStr">
        <is>
          <t>MUEBLE M02 PUELO</t>
        </is>
      </c>
      <c r="E430" s="3" t="inlineStr">
        <is>
          <t>MUEB0050</t>
        </is>
      </c>
      <c r="F430" s="3" t="inlineStr">
        <is>
          <t>UN</t>
        </is>
      </c>
      <c r="G430" s="4" t="n">
        <v>1</v>
      </c>
      <c r="H430" s="5" t="n">
        <v>91000</v>
      </c>
      <c r="I430" s="6">
        <f>IF(OR(G430="",H430=""),"",G430*H430)</f>
        <v/>
      </c>
    </row>
    <row r="431">
      <c r="A431" t="inlineStr"/>
      <c r="B431" t="inlineStr"/>
      <c r="C431" t="inlineStr"/>
      <c r="D431" s="7" t="inlineStr">
        <is>
          <t xml:space="preserve">Subtotal Closet Estándar </t>
        </is>
      </c>
      <c r="E431" t="inlineStr"/>
      <c r="F431" t="inlineStr"/>
      <c r="G431" t="inlineStr"/>
      <c r="H431" t="inlineStr"/>
      <c r="I431" s="8">
        <f>SUM(I429:I430)</f>
        <v/>
      </c>
    </row>
    <row r="432">
      <c r="A432" t="inlineStr"/>
      <c r="B432" t="inlineStr"/>
      <c r="C432" t="inlineStr"/>
      <c r="D432" s="7" t="inlineStr">
        <is>
          <t>Subtotal Espejada</t>
        </is>
      </c>
      <c r="E432" t="inlineStr"/>
      <c r="F432" t="inlineStr"/>
      <c r="G432" t="inlineStr"/>
      <c r="H432" t="inlineStr"/>
      <c r="I432" s="8">
        <f>SUMIFS(I2:I431,C2:C431,"Espejada")+SUMIFS(I2:I431,C2:C431,"General")</f>
        <v/>
      </c>
    </row>
    <row r="433">
      <c r="A433" t="inlineStr"/>
      <c r="B433" t="inlineStr"/>
      <c r="C433" t="inlineStr"/>
      <c r="D433" s="7" t="inlineStr">
        <is>
          <t>Subtotal Espejada Ampliada</t>
        </is>
      </c>
      <c r="E433" t="inlineStr"/>
      <c r="F433" t="inlineStr"/>
      <c r="G433" t="inlineStr"/>
      <c r="H433" t="inlineStr"/>
      <c r="I433" s="8">
        <f>SUMIFS(I2:I431,C2:C431,"Espejada Ampliada")+SUMIFS(I2:I431,C2:C431,"General")</f>
        <v/>
      </c>
    </row>
    <row r="434">
      <c r="A434" t="inlineStr"/>
      <c r="B434" t="inlineStr"/>
      <c r="C434" t="inlineStr"/>
      <c r="D434" s="7" t="inlineStr">
        <is>
          <t>Subtotal Normal</t>
        </is>
      </c>
      <c r="E434" t="inlineStr"/>
      <c r="F434" t="inlineStr"/>
      <c r="G434" t="inlineStr"/>
      <c r="H434" t="inlineStr"/>
      <c r="I434" s="8">
        <f>SUMIFS(I2:I431,C2:C431,"Normal")+SUMIFS(I2:I431,C2:C431,"General")</f>
        <v/>
      </c>
    </row>
    <row r="435">
      <c r="A435" t="inlineStr"/>
      <c r="B435" t="inlineStr"/>
      <c r="C435" t="inlineStr"/>
      <c r="D435" s="7" t="inlineStr">
        <is>
          <t>Subtotal Normal Ampliada</t>
        </is>
      </c>
      <c r="E435" t="inlineStr"/>
      <c r="F435" t="inlineStr"/>
      <c r="G435" t="inlineStr"/>
      <c r="H435" t="inlineStr"/>
      <c r="I435" s="8">
        <f>SUMIFS(I2:I431,C2:C431,"Normal Ampliada")+SUMIFS(I2:I431,C2:C431,"General")</f>
        <v/>
      </c>
    </row>
    <row r="436">
      <c r="A436" t="inlineStr"/>
      <c r="B436" t="inlineStr"/>
      <c r="C436" t="inlineStr"/>
      <c r="D436" s="7" t="inlineStr">
        <is>
          <t>Total General</t>
        </is>
      </c>
      <c r="E436" t="inlineStr"/>
      <c r="F436" t="inlineStr"/>
      <c r="G436" t="inlineStr"/>
      <c r="H436" t="inlineStr"/>
      <c r="I436" s="8">
        <f>SUMIFS(I2:I435,D2:D435,"&lt;&gt;Subtotal*")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8" customWidth="1" min="3" max="3"/>
    <col width="10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SKU</t>
        </is>
      </c>
      <c r="B1" s="1" t="inlineStr">
        <is>
          <t>Material</t>
        </is>
      </c>
      <c r="C1" s="1" t="inlineStr">
        <is>
          <t>Subtype</t>
        </is>
      </c>
      <c r="D1" s="1" t="inlineStr">
        <is>
          <t>Unit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Cost</t>
        </is>
      </c>
    </row>
    <row r="2">
      <c r="A2" s="2" t="inlineStr">
        <is>
          <t>ACER0002</t>
        </is>
      </c>
      <c r="B2" s="3" t="inlineStr">
        <is>
          <t>ALAMBRE GALVANIZADO # 18</t>
        </is>
      </c>
      <c r="C2" s="3" t="inlineStr">
        <is>
          <t>General</t>
        </is>
      </c>
      <c r="D2" s="3" t="inlineStr">
        <is>
          <t>KG</t>
        </is>
      </c>
      <c r="E2" s="4">
        <f>IF(SUMIFS('By Instance'!$G:$G,'By Instance'!$E:$E,A2,'By Instance'!$C:$C,C2)=0,"",SUMIFS('By Instance'!$G:$G,'By Instance'!$E:$E,A2,'By Instance'!$C:$C,C2))</f>
        <v/>
      </c>
      <c r="F2" s="6">
        <f>IF(OR(E2="",E2=0,G2=""),"",G2/E2)</f>
        <v/>
      </c>
      <c r="G2" s="6">
        <f>IF(SUMIFS('By Instance'!$I:$I,'By Instance'!$E:$E,A2,'By Instance'!$C:$C,C2)=0,"",SUMIFS('By Instance'!$I:$I,'By Instance'!$E:$E,A2,'By Instance'!$C:$C,C2))</f>
        <v/>
      </c>
    </row>
    <row r="3">
      <c r="A3" s="2" t="inlineStr">
        <is>
          <t>ACER0044</t>
        </is>
      </c>
      <c r="B3" s="3" t="inlineStr">
        <is>
          <t>PERFIL RECTANGULAR 200 X 100 X 5 X 6000MM</t>
        </is>
      </c>
      <c r="C3" s="3" t="inlineStr">
        <is>
          <t>General</t>
        </is>
      </c>
      <c r="D3" s="3" t="inlineStr">
        <is>
          <t>UN</t>
        </is>
      </c>
      <c r="E3" s="4">
        <f>IF(SUMIFS('By Instance'!$G:$G,'By Instance'!$E:$E,A3,'By Instance'!$C:$C,C3)=0,"",SUMIFS('By Instance'!$G:$G,'By Instance'!$E:$E,A3,'By Instance'!$C:$C,C3))</f>
        <v/>
      </c>
      <c r="F3" s="6">
        <f>IF(OR(E3="",E3=0,G3=""),"",G3/E3)</f>
        <v/>
      </c>
      <c r="G3" s="6">
        <f>IF(SUMIFS('By Instance'!$I:$I,'By Instance'!$E:$E,A3,'By Instance'!$C:$C,C3)=0,"",SUMIFS('By Instance'!$I:$I,'By Instance'!$E:$E,A3,'By Instance'!$C:$C,C3))</f>
        <v/>
      </c>
    </row>
    <row r="4">
      <c r="A4" s="2" t="inlineStr">
        <is>
          <t>ACER0094</t>
        </is>
      </c>
      <c r="B4" s="3" t="inlineStr">
        <is>
          <t>TUBO REDONDO 1 3/4 PULGX2MMX6MT</t>
        </is>
      </c>
      <c r="C4" s="3" t="inlineStr">
        <is>
          <t>General</t>
        </is>
      </c>
      <c r="D4" s="3" t="inlineStr">
        <is>
          <t>UN</t>
        </is>
      </c>
      <c r="E4" s="4">
        <f>IF(SUMIFS('By Instance'!$G:$G,'By Instance'!$E:$E,A4,'By Instance'!$C:$C,C4)=0,"",SUMIFS('By Instance'!$G:$G,'By Instance'!$E:$E,A4,'By Instance'!$C:$C,C4))</f>
        <v/>
      </c>
      <c r="F4" s="6">
        <f>IF(OR(E4="",E4=0,G4=""),"",G4/E4)</f>
        <v/>
      </c>
      <c r="G4" s="6">
        <f>IF(SUMIFS('By Instance'!$I:$I,'By Instance'!$E:$E,A4,'By Instance'!$C:$C,C4)=0,"",SUMIFS('By Instance'!$I:$I,'By Instance'!$E:$E,A4,'By Instance'!$C:$C,C4))</f>
        <v/>
      </c>
    </row>
    <row r="5">
      <c r="A5" s="2" t="inlineStr">
        <is>
          <t>ADHE0012</t>
        </is>
      </c>
      <c r="B5" s="3" t="inlineStr">
        <is>
          <t>ADHESIVO VINILIT TRADICIONAL 240CC</t>
        </is>
      </c>
      <c r="C5" s="3" t="inlineStr">
        <is>
          <t>General</t>
        </is>
      </c>
      <c r="D5" s="3" t="inlineStr">
        <is>
          <t>UN</t>
        </is>
      </c>
      <c r="E5" s="4">
        <f>IF(SUMIFS('By Instance'!$G:$G,'By Instance'!$E:$E,A5,'By Instance'!$C:$C,C5)=0,"",SUMIFS('By Instance'!$G:$G,'By Instance'!$E:$E,A5,'By Instance'!$C:$C,C5))</f>
        <v/>
      </c>
      <c r="F5" s="6">
        <f>IF(OR(E5="",E5=0,G5=""),"",G5/E5)</f>
        <v/>
      </c>
      <c r="G5" s="6">
        <f>IF(SUMIFS('By Instance'!$I:$I,'By Instance'!$E:$E,A5,'By Instance'!$C:$C,C5)=0,"",SUMIFS('By Instance'!$I:$I,'By Instance'!$E:$E,A5,'By Instance'!$C:$C,C5))</f>
        <v/>
      </c>
    </row>
    <row r="6">
      <c r="A6" s="2" t="inlineStr">
        <is>
          <t>ADHE0021</t>
        </is>
      </c>
      <c r="B6" s="3" t="inlineStr">
        <is>
          <t>CINTA ENMASCARAR 1 (PEGOTE)</t>
        </is>
      </c>
      <c r="C6" s="3" t="inlineStr">
        <is>
          <t>General</t>
        </is>
      </c>
      <c r="D6" s="3" t="inlineStr">
        <is>
          <t>UN</t>
        </is>
      </c>
      <c r="E6" s="4">
        <f>IF(SUMIFS('By Instance'!$G:$G,'By Instance'!$E:$E,A6,'By Instance'!$C:$C,C6)=0,"",SUMIFS('By Instance'!$G:$G,'By Instance'!$E:$E,A6,'By Instance'!$C:$C,C6))</f>
        <v/>
      </c>
      <c r="F6" s="6">
        <f>IF(OR(E6="",E6=0,G6=""),"",G6/E6)</f>
        <v/>
      </c>
      <c r="G6" s="6">
        <f>IF(SUMIFS('By Instance'!$I:$I,'By Instance'!$E:$E,A6,'By Instance'!$C:$C,C6)=0,"",SUMIFS('By Instance'!$I:$I,'By Instance'!$E:$E,A6,'By Instance'!$C:$C,C6))</f>
        <v/>
      </c>
    </row>
    <row r="7">
      <c r="A7" s="2" t="inlineStr">
        <is>
          <t>ADHE0022</t>
        </is>
      </c>
      <c r="B7" s="3" t="inlineStr">
        <is>
          <t>CINTA ENMASCARAR 2 (PEGOTE)</t>
        </is>
      </c>
      <c r="C7" s="3" t="inlineStr">
        <is>
          <t>General</t>
        </is>
      </c>
      <c r="D7" s="3" t="inlineStr">
        <is>
          <t>UN</t>
        </is>
      </c>
      <c r="E7" s="4">
        <f>IF(SUMIFS('By Instance'!$G:$G,'By Instance'!$E:$E,A7,'By Instance'!$C:$C,C7)=0,"",SUMIFS('By Instance'!$G:$G,'By Instance'!$E:$E,A7,'By Instance'!$C:$C,C7))</f>
        <v/>
      </c>
      <c r="F7" s="6">
        <f>IF(OR(E7="",E7=0,G7=""),"",G7/E7)</f>
        <v/>
      </c>
      <c r="G7" s="6">
        <f>IF(SUMIFS('By Instance'!$I:$I,'By Instance'!$E:$E,A7,'By Instance'!$C:$C,C7)=0,"",SUMIFS('By Instance'!$I:$I,'By Instance'!$E:$E,A7,'By Instance'!$C:$C,C7))</f>
        <v/>
      </c>
    </row>
    <row r="8">
      <c r="A8" s="2" t="inlineStr">
        <is>
          <t>ADHE0061</t>
        </is>
      </c>
      <c r="B8" s="3" t="inlineStr">
        <is>
          <t>ADHESIVO DE CONTACTO AGOREX 60</t>
        </is>
      </c>
      <c r="C8" s="3" t="inlineStr">
        <is>
          <t>General</t>
        </is>
      </c>
      <c r="D8" s="3" t="inlineStr">
        <is>
          <t>UN</t>
        </is>
      </c>
      <c r="E8" s="4">
        <f>IF(SUMIFS('By Instance'!$G:$G,'By Instance'!$E:$E,A8,'By Instance'!$C:$C,C8)=0,"",SUMIFS('By Instance'!$G:$G,'By Instance'!$E:$E,A8,'By Instance'!$C:$C,C8))</f>
        <v/>
      </c>
      <c r="F8" s="6">
        <f>IF(OR(E8="",E8=0,G8=""),"",G8/E8)</f>
        <v/>
      </c>
      <c r="G8" s="6">
        <f>IF(SUMIFS('By Instance'!$I:$I,'By Instance'!$E:$E,A8,'By Instance'!$C:$C,C8)=0,"",SUMIFS('By Instance'!$I:$I,'By Instance'!$E:$E,A8,'By Instance'!$C:$C,C8))</f>
        <v/>
      </c>
    </row>
    <row r="9">
      <c r="A9" s="2" t="inlineStr">
        <is>
          <t>ADHE0063</t>
        </is>
      </c>
      <c r="B9" s="3" t="inlineStr">
        <is>
          <t>ADHESIVO AEROLITE UP-4145 SACO 25 Kg</t>
        </is>
      </c>
      <c r="C9" s="3" t="inlineStr">
        <is>
          <t>General</t>
        </is>
      </c>
      <c r="D9" s="3" t="inlineStr">
        <is>
          <t>SACO</t>
        </is>
      </c>
      <c r="E9" s="4">
        <f>IF(SUMIFS('By Instance'!$G:$G,'By Instance'!$E:$E,A9,'By Instance'!$C:$C,C9)=0,"",SUMIFS('By Instance'!$G:$G,'By Instance'!$E:$E,A9,'By Instance'!$C:$C,C9))</f>
        <v/>
      </c>
      <c r="F9" s="6">
        <f>IF(OR(E9="",E9=0,G9=""),"",G9/E9)</f>
        <v/>
      </c>
      <c r="G9" s="6">
        <f>IF(SUMIFS('By Instance'!$I:$I,'By Instance'!$E:$E,A9,'By Instance'!$C:$C,C9)=0,"",SUMIFS('By Instance'!$I:$I,'By Instance'!$E:$E,A9,'By Instance'!$C:$C,C9))</f>
        <v/>
      </c>
    </row>
    <row r="10">
      <c r="A10" s="2" t="inlineStr">
        <is>
          <t>ADHE0069</t>
        </is>
      </c>
      <c r="B10" s="3" t="inlineStr">
        <is>
          <t>COLA FRIA 20KG</t>
        </is>
      </c>
      <c r="C10" s="3" t="inlineStr">
        <is>
          <t>General</t>
        </is>
      </c>
      <c r="D10" s="3" t="inlineStr">
        <is>
          <t>TINETA</t>
        </is>
      </c>
      <c r="E10" s="4">
        <f>IF(SUMIFS('By Instance'!$G:$G,'By Instance'!$E:$E,A10,'By Instance'!$C:$C,C10)=0,"",SUMIFS('By Instance'!$G:$G,'By Instance'!$E:$E,A10,'By Instance'!$C:$C,C10))</f>
        <v/>
      </c>
      <c r="F10" s="6">
        <f>IF(OR(E10="",E10=0,G10=""),"",G10/E10)</f>
        <v/>
      </c>
      <c r="G10" s="6">
        <f>IF(SUMIFS('By Instance'!$I:$I,'By Instance'!$E:$E,A10,'By Instance'!$C:$C,C10)=0,"",SUMIFS('By Instance'!$I:$I,'By Instance'!$E:$E,A10,'By Instance'!$C:$C,C10))</f>
        <v/>
      </c>
    </row>
    <row r="11">
      <c r="A11" s="2" t="inlineStr">
        <is>
          <t>AGLL0002</t>
        </is>
      </c>
      <c r="B11" s="3" t="inlineStr">
        <is>
          <t>CLIP ABRAZADERA TUBO BAJADA 80 [MM] BLANCO</t>
        </is>
      </c>
      <c r="C11" s="3" t="inlineStr">
        <is>
          <t>General</t>
        </is>
      </c>
      <c r="D11" s="3" t="inlineStr">
        <is>
          <t>UN</t>
        </is>
      </c>
      <c r="E11" s="4">
        <f>IF(SUMIFS('By Instance'!$G:$G,'By Instance'!$E:$E,A11,'By Instance'!$C:$C,C11)=0,"",SUMIFS('By Instance'!$G:$G,'By Instance'!$E:$E,A11,'By Instance'!$C:$C,C11))</f>
        <v/>
      </c>
      <c r="F11" s="6">
        <f>IF(OR(E11="",E11=0,G11=""),"",G11/E11)</f>
        <v/>
      </c>
      <c r="G11" s="6">
        <f>IF(SUMIFS('By Instance'!$I:$I,'By Instance'!$E:$E,A11,'By Instance'!$C:$C,C11)=0,"",SUMIFS('By Instance'!$I:$I,'By Instance'!$E:$E,A11,'By Instance'!$C:$C,C11))</f>
        <v/>
      </c>
    </row>
    <row r="12">
      <c r="A12" s="2" t="inlineStr">
        <is>
          <t>AGLL0004</t>
        </is>
      </c>
      <c r="B12" s="3" t="inlineStr">
        <is>
          <t>CANALETA AGUA LLUVIA PRO 110 [MM] x 4 [M] BLANCA 2028229</t>
        </is>
      </c>
      <c r="C12" s="3" t="inlineStr">
        <is>
          <t>General</t>
        </is>
      </c>
      <c r="D12" s="3" t="inlineStr">
        <is>
          <t>UN</t>
        </is>
      </c>
      <c r="E12" s="4">
        <f>IF(SUMIFS('By Instance'!$G:$G,'By Instance'!$E:$E,A12,'By Instance'!$C:$C,C12)=0,"",SUMIFS('By Instance'!$G:$G,'By Instance'!$E:$E,A12,'By Instance'!$C:$C,C12))</f>
        <v/>
      </c>
      <c r="F12" s="6">
        <f>IF(OR(E12="",E12=0,G12=""),"",G12/E12)</f>
        <v/>
      </c>
      <c r="G12" s="6">
        <f>IF(SUMIFS('By Instance'!$I:$I,'By Instance'!$E:$E,A12,'By Instance'!$C:$C,C12)=0,"",SUMIFS('By Instance'!$I:$I,'By Instance'!$E:$E,A12,'By Instance'!$C:$C,C12))</f>
        <v/>
      </c>
    </row>
    <row r="13">
      <c r="A13" s="2" t="inlineStr">
        <is>
          <t>AGLL0008</t>
        </is>
      </c>
      <c r="B13" s="3" t="inlineStr">
        <is>
          <t>COPLA TUBO BAJADA 80 [MM] BLANCO 2028872</t>
        </is>
      </c>
      <c r="C13" s="3" t="inlineStr">
        <is>
          <t>General</t>
        </is>
      </c>
      <c r="D13" s="3" t="inlineStr">
        <is>
          <t>UN</t>
        </is>
      </c>
      <c r="E13" s="4">
        <f>IF(SUMIFS('By Instance'!$G:$G,'By Instance'!$E:$E,A13,'By Instance'!$C:$C,C13)=0,"",SUMIFS('By Instance'!$G:$G,'By Instance'!$E:$E,A13,'By Instance'!$C:$C,C13))</f>
        <v/>
      </c>
      <c r="F13" s="6">
        <f>IF(OR(E13="",E13=0,G13=""),"",G13/E13)</f>
        <v/>
      </c>
      <c r="G13" s="6">
        <f>IF(SUMIFS('By Instance'!$I:$I,'By Instance'!$E:$E,A13,'By Instance'!$C:$C,C13)=0,"",SUMIFS('By Instance'!$I:$I,'By Instance'!$E:$E,A13,'By Instance'!$C:$C,C13))</f>
        <v/>
      </c>
    </row>
    <row r="14">
      <c r="A14" s="2" t="inlineStr">
        <is>
          <t>AGLL0011</t>
        </is>
      </c>
      <c r="B14" s="3" t="inlineStr">
        <is>
          <t>SOPORTE CANALETA BLANCO 2028873</t>
        </is>
      </c>
      <c r="C14" s="3" t="inlineStr">
        <is>
          <t>General</t>
        </is>
      </c>
      <c r="D14" s="3" t="inlineStr">
        <is>
          <t>UN</t>
        </is>
      </c>
      <c r="E14" s="4">
        <f>IF(SUMIFS('By Instance'!$G:$G,'By Instance'!$E:$E,A14,'By Instance'!$C:$C,C14)=0,"",SUMIFS('By Instance'!$G:$G,'By Instance'!$E:$E,A14,'By Instance'!$C:$C,C14))</f>
        <v/>
      </c>
      <c r="F14" s="6">
        <f>IF(OR(E14="",E14=0,G14=""),"",G14/E14)</f>
        <v/>
      </c>
      <c r="G14" s="6">
        <f>IF(SUMIFS('By Instance'!$I:$I,'By Instance'!$E:$E,A14,'By Instance'!$C:$C,C14)=0,"",SUMIFS('By Instance'!$I:$I,'By Instance'!$E:$E,A14,'By Instance'!$C:$C,C14))</f>
        <v/>
      </c>
    </row>
    <row r="15">
      <c r="A15" s="2" t="inlineStr">
        <is>
          <t>AGLL0013</t>
        </is>
      </c>
      <c r="B15" s="3" t="inlineStr">
        <is>
          <t>TAPA CANALETA P025 BLANCO UNIVERSAL 2028875</t>
        </is>
      </c>
      <c r="C15" s="3" t="inlineStr">
        <is>
          <t>General</t>
        </is>
      </c>
      <c r="D15" s="3" t="inlineStr">
        <is>
          <t>UN</t>
        </is>
      </c>
      <c r="E15" s="4">
        <f>IF(SUMIFS('By Instance'!$G:$G,'By Instance'!$E:$E,A15,'By Instance'!$C:$C,C15)=0,"",SUMIFS('By Instance'!$G:$G,'By Instance'!$E:$E,A15,'By Instance'!$C:$C,C15))</f>
        <v/>
      </c>
      <c r="F15" s="6">
        <f>IF(OR(E15="",E15=0,G15=""),"",G15/E15)</f>
        <v/>
      </c>
      <c r="G15" s="6">
        <f>IF(SUMIFS('By Instance'!$I:$I,'By Instance'!$E:$E,A15,'By Instance'!$C:$C,C15)=0,"",SUMIFS('By Instance'!$I:$I,'By Instance'!$E:$E,A15,'By Instance'!$C:$C,C15))</f>
        <v/>
      </c>
    </row>
    <row r="16">
      <c r="A16" s="2" t="inlineStr">
        <is>
          <t>AGLL0016</t>
        </is>
      </c>
      <c r="B16" s="3" t="inlineStr">
        <is>
          <t>TUBO BAJADA 80 [MM] x 3 [M] P/CANALETA BLANCO 2028228</t>
        </is>
      </c>
      <c r="C16" s="3" t="inlineStr">
        <is>
          <t>General</t>
        </is>
      </c>
      <c r="D16" s="3" t="inlineStr">
        <is>
          <t>UN</t>
        </is>
      </c>
      <c r="E16" s="4">
        <f>IF(SUMIFS('By Instance'!$G:$G,'By Instance'!$E:$E,A16,'By Instance'!$C:$C,C16)=0,"",SUMIFS('By Instance'!$G:$G,'By Instance'!$E:$E,A16,'By Instance'!$C:$C,C16))</f>
        <v/>
      </c>
      <c r="F16" s="6">
        <f>IF(OR(E16="",E16=0,G16=""),"",G16/E16)</f>
        <v/>
      </c>
      <c r="G16" s="6">
        <f>IF(SUMIFS('By Instance'!$I:$I,'By Instance'!$E:$E,A16,'By Instance'!$C:$C,C16)=0,"",SUMIFS('By Instance'!$I:$I,'By Instance'!$E:$E,A16,'By Instance'!$C:$C,C16))</f>
        <v/>
      </c>
    </row>
    <row r="17">
      <c r="A17" s="2" t="inlineStr">
        <is>
          <t>AGLL0021</t>
        </is>
      </c>
      <c r="B17" s="3" t="inlineStr">
        <is>
          <t>BAJADA CEMENTADA BLANCO UNIVERSAL 2028869</t>
        </is>
      </c>
      <c r="C17" s="3" t="inlineStr">
        <is>
          <t>General</t>
        </is>
      </c>
      <c r="D17" s="3" t="inlineStr">
        <is>
          <t>UN</t>
        </is>
      </c>
      <c r="E17" s="4">
        <f>IF(SUMIFS('By Instance'!$G:$G,'By Instance'!$E:$E,A17,'By Instance'!$C:$C,C17)=0,"",SUMIFS('By Instance'!$G:$G,'By Instance'!$E:$E,A17,'By Instance'!$C:$C,C17))</f>
        <v/>
      </c>
      <c r="F17" s="6">
        <f>IF(OR(E17="",E17=0,G17=""),"",G17/E17)</f>
        <v/>
      </c>
      <c r="G17" s="6">
        <f>IF(SUMIFS('By Instance'!$I:$I,'By Instance'!$E:$E,A17,'By Instance'!$C:$C,C17)=0,"",SUMIFS('By Instance'!$I:$I,'By Instance'!$E:$E,A17,'By Instance'!$C:$C,C17))</f>
        <v/>
      </c>
    </row>
    <row r="18">
      <c r="A18" s="2" t="inlineStr">
        <is>
          <t>AGLL0029</t>
        </is>
      </c>
      <c r="B18" s="3" t="inlineStr">
        <is>
          <t>CODO PVC P/TUBO BAJADA BLANCO 45° H-H 9053245</t>
        </is>
      </c>
      <c r="C18" s="3" t="inlineStr">
        <is>
          <t>General</t>
        </is>
      </c>
      <c r="D18" s="3" t="inlineStr">
        <is>
          <t>UN</t>
        </is>
      </c>
      <c r="E18" s="4">
        <f>IF(SUMIFS('By Instance'!$G:$G,'By Instance'!$E:$E,A18,'By Instance'!$C:$C,C18)=0,"",SUMIFS('By Instance'!$G:$G,'By Instance'!$E:$E,A18,'By Instance'!$C:$C,C18))</f>
        <v/>
      </c>
      <c r="F18" s="6">
        <f>IF(OR(E18="",E18=0,G18=""),"",G18/E18)</f>
        <v/>
      </c>
      <c r="G18" s="6">
        <f>IF(SUMIFS('By Instance'!$I:$I,'By Instance'!$E:$E,A18,'By Instance'!$C:$C,C18)=0,"",SUMIFS('By Instance'!$I:$I,'By Instance'!$E:$E,A18,'By Instance'!$C:$C,C18))</f>
        <v/>
      </c>
    </row>
    <row r="19">
      <c r="A19" s="2" t="inlineStr">
        <is>
          <t>AGLL0030</t>
        </is>
      </c>
      <c r="B19" s="3" t="inlineStr">
        <is>
          <t>CANALETA AGUA LLUVIA PRO 110 [MM] x 4 [M] NEGRO</t>
        </is>
      </c>
      <c r="C19" s="3" t="inlineStr">
        <is>
          <t>General</t>
        </is>
      </c>
      <c r="D19" s="3" t="inlineStr">
        <is>
          <t>UN</t>
        </is>
      </c>
      <c r="E19" s="4">
        <f>IF(SUMIFS('By Instance'!$G:$G,'By Instance'!$E:$E,A19,'By Instance'!$C:$C,C19)=0,"",SUMIFS('By Instance'!$G:$G,'By Instance'!$E:$E,A19,'By Instance'!$C:$C,C19))</f>
        <v/>
      </c>
      <c r="F19" s="6">
        <f>IF(OR(E19="",E19=0,G19=""),"",G19/E19)</f>
        <v/>
      </c>
      <c r="G19" s="6">
        <f>IF(SUMIFS('By Instance'!$I:$I,'By Instance'!$E:$E,A19,'By Instance'!$C:$C,C19)=0,"",SUMIFS('By Instance'!$I:$I,'By Instance'!$E:$E,A19,'By Instance'!$C:$C,C19))</f>
        <v/>
      </c>
    </row>
    <row r="20">
      <c r="A20" s="2" t="inlineStr">
        <is>
          <t>AGPO0001</t>
        </is>
      </c>
      <c r="B20" s="3" t="inlineStr">
        <is>
          <t>CINTA TEFLON 1/2</t>
        </is>
      </c>
      <c r="C20" s="3" t="inlineStr">
        <is>
          <t>General</t>
        </is>
      </c>
      <c r="D20" s="3" t="inlineStr">
        <is>
          <t>UN</t>
        </is>
      </c>
      <c r="E20" s="4">
        <f>IF(SUMIFS('By Instance'!$G:$G,'By Instance'!$E:$E,A20,'By Instance'!$C:$C,C20)=0,"",SUMIFS('By Instance'!$G:$G,'By Instance'!$E:$E,A20,'By Instance'!$C:$C,C20))</f>
        <v/>
      </c>
      <c r="F20" s="6">
        <f>IF(OR(E20="",E20=0,G20=""),"",G20/E20)</f>
        <v/>
      </c>
      <c r="G20" s="6">
        <f>IF(SUMIFS('By Instance'!$I:$I,'By Instance'!$E:$E,A20,'By Instance'!$C:$C,C20)=0,"",SUMIFS('By Instance'!$I:$I,'By Instance'!$E:$E,A20,'By Instance'!$C:$C,C20))</f>
        <v/>
      </c>
    </row>
    <row r="21">
      <c r="A21" s="2" t="inlineStr">
        <is>
          <t>AGPO0003</t>
        </is>
      </c>
      <c r="B21" s="3" t="inlineStr">
        <is>
          <t>CODO PPR 025X45°</t>
        </is>
      </c>
      <c r="C21" s="3" t="inlineStr">
        <is>
          <t>General</t>
        </is>
      </c>
      <c r="D21" s="3" t="inlineStr">
        <is>
          <t>UN</t>
        </is>
      </c>
      <c r="E21" s="4">
        <f>IF(SUMIFS('By Instance'!$G:$G,'By Instance'!$E:$E,A21,'By Instance'!$C:$C,C21)=0,"",SUMIFS('By Instance'!$G:$G,'By Instance'!$E:$E,A21,'By Instance'!$C:$C,C21))</f>
        <v/>
      </c>
      <c r="F21" s="6">
        <f>IF(OR(E21="",E21=0,G21=""),"",G21/E21)</f>
        <v/>
      </c>
      <c r="G21" s="6">
        <f>IF(SUMIFS('By Instance'!$I:$I,'By Instance'!$E:$E,A21,'By Instance'!$C:$C,C21)=0,"",SUMIFS('By Instance'!$I:$I,'By Instance'!$E:$E,A21,'By Instance'!$C:$C,C21))</f>
        <v/>
      </c>
    </row>
    <row r="22">
      <c r="A22" s="2" t="inlineStr">
        <is>
          <t>AGPO0006</t>
        </is>
      </c>
      <c r="B22" s="3" t="inlineStr">
        <is>
          <t>CODO PP-R 25 MM</t>
        </is>
      </c>
      <c r="C22" s="3" t="inlineStr">
        <is>
          <t>General</t>
        </is>
      </c>
      <c r="D22" s="3" t="inlineStr">
        <is>
          <t>UN</t>
        </is>
      </c>
      <c r="E22" s="4">
        <f>IF(SUMIFS('By Instance'!$G:$G,'By Instance'!$E:$E,A22,'By Instance'!$C:$C,C22)=0,"",SUMIFS('By Instance'!$G:$G,'By Instance'!$E:$E,A22,'By Instance'!$C:$C,C22))</f>
        <v/>
      </c>
      <c r="F22" s="6">
        <f>IF(OR(E22="",E22=0,G22=""),"",G22/E22)</f>
        <v/>
      </c>
      <c r="G22" s="6">
        <f>IF(SUMIFS('By Instance'!$I:$I,'By Instance'!$E:$E,A22,'By Instance'!$C:$C,C22)=0,"",SUMIFS('By Instance'!$I:$I,'By Instance'!$E:$E,A22,'By Instance'!$C:$C,C22))</f>
        <v/>
      </c>
    </row>
    <row r="23">
      <c r="A23" s="2" t="inlineStr">
        <is>
          <t>AGPO0007</t>
        </is>
      </c>
      <c r="B23" s="3" t="inlineStr">
        <is>
          <t>CODO PP-R 32 MM</t>
        </is>
      </c>
      <c r="C23" s="3" t="inlineStr">
        <is>
          <t>General</t>
        </is>
      </c>
      <c r="D23" s="3" t="inlineStr">
        <is>
          <t>UN</t>
        </is>
      </c>
      <c r="E23" s="4">
        <f>IF(SUMIFS('By Instance'!$G:$G,'By Instance'!$E:$E,A23,'By Instance'!$C:$C,C23)=0,"",SUMIFS('By Instance'!$G:$G,'By Instance'!$E:$E,A23,'By Instance'!$C:$C,C23))</f>
        <v/>
      </c>
      <c r="F23" s="6">
        <f>IF(OR(E23="",E23=0,G23=""),"",G23/E23)</f>
        <v/>
      </c>
      <c r="G23" s="6">
        <f>IF(SUMIFS('By Instance'!$I:$I,'By Instance'!$E:$E,A23,'By Instance'!$C:$C,C23)=0,"",SUMIFS('By Instance'!$I:$I,'By Instance'!$E:$E,A23,'By Instance'!$C:$C,C23))</f>
        <v/>
      </c>
    </row>
    <row r="24">
      <c r="A24" s="2" t="inlineStr">
        <is>
          <t>AGPO0010</t>
        </is>
      </c>
      <c r="B24" s="3" t="inlineStr">
        <is>
          <t>CODO PPR GRIS/VERDE HE 025X1/2 R-MET</t>
        </is>
      </c>
      <c r="C24" s="3" t="inlineStr">
        <is>
          <t>General</t>
        </is>
      </c>
      <c r="D24" s="3" t="inlineStr">
        <is>
          <t>UN</t>
        </is>
      </c>
      <c r="E24" s="4">
        <f>IF(SUMIFS('By Instance'!$G:$G,'By Instance'!$E:$E,A24,'By Instance'!$C:$C,C24)=0,"",SUMIFS('By Instance'!$G:$G,'By Instance'!$E:$E,A24,'By Instance'!$C:$C,C24))</f>
        <v/>
      </c>
      <c r="F24" s="6">
        <f>IF(OR(E24="",E24=0,G24=""),"",G24/E24)</f>
        <v/>
      </c>
      <c r="G24" s="6">
        <f>IF(SUMIFS('By Instance'!$I:$I,'By Instance'!$E:$E,A24,'By Instance'!$C:$C,C24)=0,"",SUMIFS('By Instance'!$I:$I,'By Instance'!$E:$E,A24,'By Instance'!$C:$C,C24))</f>
        <v/>
      </c>
    </row>
    <row r="25">
      <c r="A25" s="2" t="inlineStr">
        <is>
          <t>AGPO0022</t>
        </is>
      </c>
      <c r="B25" s="3" t="inlineStr">
        <is>
          <t>COPLA PP-R 25 MM</t>
        </is>
      </c>
      <c r="C25" s="3" t="inlineStr">
        <is>
          <t>General</t>
        </is>
      </c>
      <c r="D25" s="3" t="inlineStr">
        <is>
          <t>UN</t>
        </is>
      </c>
      <c r="E25" s="4">
        <f>IF(SUMIFS('By Instance'!$G:$G,'By Instance'!$E:$E,A25,'By Instance'!$C:$C,C25)=0,"",SUMIFS('By Instance'!$G:$G,'By Instance'!$E:$E,A25,'By Instance'!$C:$C,C25))</f>
        <v/>
      </c>
      <c r="F25" s="6">
        <f>IF(OR(E25="",E25=0,G25=""),"",G25/E25)</f>
        <v/>
      </c>
      <c r="G25" s="6">
        <f>IF(SUMIFS('By Instance'!$I:$I,'By Instance'!$E:$E,A25,'By Instance'!$C:$C,C25)=0,"",SUMIFS('By Instance'!$I:$I,'By Instance'!$E:$E,A25,'By Instance'!$C:$C,C25))</f>
        <v/>
      </c>
    </row>
    <row r="26">
      <c r="A26" s="2" t="inlineStr">
        <is>
          <t>AGPO0031</t>
        </is>
      </c>
      <c r="B26" s="3" t="inlineStr">
        <is>
          <t>SET LLAVE ANG 1/2HI X 15/16HI 30 CM UN</t>
        </is>
      </c>
      <c r="C26" s="3" t="inlineStr">
        <is>
          <t>General</t>
        </is>
      </c>
      <c r="D26" s="3" t="inlineStr">
        <is>
          <t>UN</t>
        </is>
      </c>
      <c r="E26" s="4">
        <f>IF(SUMIFS('By Instance'!$G:$G,'By Instance'!$E:$E,A26,'By Instance'!$C:$C,C26)=0,"",SUMIFS('By Instance'!$G:$G,'By Instance'!$E:$E,A26,'By Instance'!$C:$C,C26))</f>
        <v/>
      </c>
      <c r="F26" s="6">
        <f>IF(OR(E26="",E26=0,G26=""),"",G26/E26)</f>
        <v/>
      </c>
      <c r="G26" s="6">
        <f>IF(SUMIFS('By Instance'!$I:$I,'By Instance'!$E:$E,A26,'By Instance'!$C:$C,C26)=0,"",SUMIFS('By Instance'!$I:$I,'By Instance'!$E:$E,A26,'By Instance'!$C:$C,C26))</f>
        <v/>
      </c>
    </row>
    <row r="27">
      <c r="A27" s="2" t="inlineStr">
        <is>
          <t>AGPO0039</t>
        </is>
      </c>
      <c r="B27" s="3" t="inlineStr">
        <is>
          <t>LLAVE PASO PP-R CROM 25 MM</t>
        </is>
      </c>
      <c r="C27" s="3" t="inlineStr">
        <is>
          <t>General</t>
        </is>
      </c>
      <c r="D27" s="3" t="inlineStr">
        <is>
          <t>UN</t>
        </is>
      </c>
      <c r="E27" s="4">
        <f>IF(SUMIFS('By Instance'!$G:$G,'By Instance'!$E:$E,A27,'By Instance'!$C:$C,C27)=0,"",SUMIFS('By Instance'!$G:$G,'By Instance'!$E:$E,A27,'By Instance'!$C:$C,C27))</f>
        <v/>
      </c>
      <c r="F27" s="6">
        <f>IF(OR(E27="",E27=0,G27=""),"",G27/E27)</f>
        <v/>
      </c>
      <c r="G27" s="6">
        <f>IF(SUMIFS('By Instance'!$I:$I,'By Instance'!$E:$E,A27,'By Instance'!$C:$C,C27)=0,"",SUMIFS('By Instance'!$I:$I,'By Instance'!$E:$E,A27,'By Instance'!$C:$C,C27))</f>
        <v/>
      </c>
    </row>
    <row r="28">
      <c r="A28" s="2" t="inlineStr">
        <is>
          <t>AGPO0043</t>
        </is>
      </c>
      <c r="B28" s="3" t="inlineStr">
        <is>
          <t>PASATUBO PPR 025MM</t>
        </is>
      </c>
      <c r="C28" s="3" t="inlineStr">
        <is>
          <t>General</t>
        </is>
      </c>
      <c r="D28" s="3" t="inlineStr">
        <is>
          <t>UN</t>
        </is>
      </c>
      <c r="E28" s="4">
        <f>IF(SUMIFS('By Instance'!$G:$G,'By Instance'!$E:$E,A28,'By Instance'!$C:$C,C28)=0,"",SUMIFS('By Instance'!$G:$G,'By Instance'!$E:$E,A28,'By Instance'!$C:$C,C28))</f>
        <v/>
      </c>
      <c r="F28" s="6">
        <f>IF(OR(E28="",E28=0,G28=""),"",G28/E28)</f>
        <v/>
      </c>
      <c r="G28" s="6">
        <f>IF(SUMIFS('By Instance'!$I:$I,'By Instance'!$E:$E,A28,'By Instance'!$C:$C,C28)=0,"",SUMIFS('By Instance'!$I:$I,'By Instance'!$E:$E,A28,'By Instance'!$C:$C,C28))</f>
        <v/>
      </c>
    </row>
    <row r="29">
      <c r="A29" s="2" t="inlineStr">
        <is>
          <t>AGPO0067</t>
        </is>
      </c>
      <c r="B29" s="3" t="inlineStr">
        <is>
          <t>TEE PPR HI 025X1/2 R-MET</t>
        </is>
      </c>
      <c r="C29" s="3" t="inlineStr">
        <is>
          <t>General</t>
        </is>
      </c>
      <c r="D29" s="3" t="inlineStr">
        <is>
          <t>UN</t>
        </is>
      </c>
      <c r="E29" s="4">
        <f>IF(SUMIFS('By Instance'!$G:$G,'By Instance'!$E:$E,A29,'By Instance'!$C:$C,C29)=0,"",SUMIFS('By Instance'!$G:$G,'By Instance'!$E:$E,A29,'By Instance'!$C:$C,C29))</f>
        <v/>
      </c>
      <c r="F29" s="6">
        <f>IF(OR(E29="",E29=0,G29=""),"",G29/E29)</f>
        <v/>
      </c>
      <c r="G29" s="6">
        <f>IF(SUMIFS('By Instance'!$I:$I,'By Instance'!$E:$E,A29,'By Instance'!$C:$C,C29)=0,"",SUMIFS('By Instance'!$I:$I,'By Instance'!$E:$E,A29,'By Instance'!$C:$C,C29))</f>
        <v/>
      </c>
    </row>
    <row r="30">
      <c r="A30" s="2" t="inlineStr">
        <is>
          <t>AGPO0086</t>
        </is>
      </c>
      <c r="B30" s="3" t="inlineStr">
        <is>
          <t>TERMINAL PPR HE 25X3/4</t>
        </is>
      </c>
      <c r="C30" s="3" t="inlineStr">
        <is>
          <t>General</t>
        </is>
      </c>
      <c r="D30" s="3" t="inlineStr">
        <is>
          <t>UN</t>
        </is>
      </c>
      <c r="E30" s="4">
        <f>IF(SUMIFS('By Instance'!$G:$G,'By Instance'!$E:$E,A30,'By Instance'!$C:$C,C30)=0,"",SUMIFS('By Instance'!$G:$G,'By Instance'!$E:$E,A30,'By Instance'!$C:$C,C30))</f>
        <v/>
      </c>
      <c r="F30" s="6">
        <f>IF(OR(E30="",E30=0,G30=""),"",G30/E30)</f>
        <v/>
      </c>
      <c r="G30" s="6">
        <f>IF(SUMIFS('By Instance'!$I:$I,'By Instance'!$E:$E,A30,'By Instance'!$C:$C,C30)=0,"",SUMIFS('By Instance'!$I:$I,'By Instance'!$E:$E,A30,'By Instance'!$C:$C,C30))</f>
        <v/>
      </c>
    </row>
    <row r="31">
      <c r="A31" s="2" t="inlineStr">
        <is>
          <t>AGPO0103</t>
        </is>
      </c>
      <c r="B31" s="3" t="inlineStr">
        <is>
          <t>LLAVE PASO PPR 032MM C/CAMPANA CROMADA</t>
        </is>
      </c>
      <c r="C31" s="3" t="inlineStr">
        <is>
          <t>General</t>
        </is>
      </c>
      <c r="D31" s="3" t="inlineStr">
        <is>
          <t>UN</t>
        </is>
      </c>
      <c r="E31" s="4">
        <f>IF(SUMIFS('By Instance'!$G:$G,'By Instance'!$E:$E,A31,'By Instance'!$C:$C,C31)=0,"",SUMIFS('By Instance'!$G:$G,'By Instance'!$E:$E,A31,'By Instance'!$C:$C,C31))</f>
        <v/>
      </c>
      <c r="F31" s="6">
        <f>IF(OR(E31="",E31=0,G31=""),"",G31/E31)</f>
        <v/>
      </c>
      <c r="G31" s="6">
        <f>IF(SUMIFS('By Instance'!$I:$I,'By Instance'!$E:$E,A31,'By Instance'!$C:$C,C31)=0,"",SUMIFS('By Instance'!$I:$I,'By Instance'!$E:$E,A31,'By Instance'!$C:$C,C31))</f>
        <v/>
      </c>
    </row>
    <row r="32">
      <c r="A32" s="2" t="inlineStr">
        <is>
          <t>AGPO0108</t>
        </is>
      </c>
      <c r="B32" s="3" t="inlineStr">
        <is>
          <t>TEE PPR 025X025 FUS. BETA</t>
        </is>
      </c>
      <c r="C32" s="3" t="inlineStr">
        <is>
          <t>General</t>
        </is>
      </c>
      <c r="D32" s="3" t="inlineStr">
        <is>
          <t>UN</t>
        </is>
      </c>
      <c r="E32" s="4">
        <f>IF(SUMIFS('By Instance'!$G:$G,'By Instance'!$E:$E,A32,'By Instance'!$C:$C,C32)=0,"",SUMIFS('By Instance'!$G:$G,'By Instance'!$E:$E,A32,'By Instance'!$C:$C,C32))</f>
        <v/>
      </c>
      <c r="F32" s="6">
        <f>IF(OR(E32="",E32=0,G32=""),"",G32/E32)</f>
        <v/>
      </c>
      <c r="G32" s="6">
        <f>IF(SUMIFS('By Instance'!$I:$I,'By Instance'!$E:$E,A32,'By Instance'!$C:$C,C32)=0,"",SUMIFS('By Instance'!$I:$I,'By Instance'!$E:$E,A32,'By Instance'!$C:$C,C32))</f>
        <v/>
      </c>
    </row>
    <row r="33">
      <c r="A33" s="2" t="inlineStr">
        <is>
          <t>AGPO0117</t>
        </is>
      </c>
      <c r="B33" s="3" t="inlineStr">
        <is>
          <t>TERMINAL PPR HE 025X1/2</t>
        </is>
      </c>
      <c r="C33" s="3" t="inlineStr">
        <is>
          <t>General</t>
        </is>
      </c>
      <c r="D33" s="3" t="inlineStr">
        <is>
          <t>UN</t>
        </is>
      </c>
      <c r="E33" s="4">
        <f>IF(SUMIFS('By Instance'!$G:$G,'By Instance'!$E:$E,A33,'By Instance'!$C:$C,C33)=0,"",SUMIFS('By Instance'!$G:$G,'By Instance'!$E:$E,A33,'By Instance'!$C:$C,C33))</f>
        <v/>
      </c>
      <c r="F33" s="6">
        <f>IF(OR(E33="",E33=0,G33=""),"",G33/E33)</f>
        <v/>
      </c>
      <c r="G33" s="6">
        <f>IF(SUMIFS('By Instance'!$I:$I,'By Instance'!$E:$E,A33,'By Instance'!$C:$C,C33)=0,"",SUMIFS('By Instance'!$I:$I,'By Instance'!$E:$E,A33,'By Instance'!$C:$C,C33))</f>
        <v/>
      </c>
    </row>
    <row r="34">
      <c r="A34" s="2" t="inlineStr">
        <is>
          <t>AGPO0118</t>
        </is>
      </c>
      <c r="B34" s="3" t="inlineStr">
        <is>
          <t>TERMINAL PPR HI 025X1/2</t>
        </is>
      </c>
      <c r="C34" s="3" t="inlineStr">
        <is>
          <t>General</t>
        </is>
      </c>
      <c r="D34" s="3" t="inlineStr">
        <is>
          <t>UN</t>
        </is>
      </c>
      <c r="E34" s="4">
        <f>IF(SUMIFS('By Instance'!$G:$G,'By Instance'!$E:$E,A34,'By Instance'!$C:$C,C34)=0,"",SUMIFS('By Instance'!$G:$G,'By Instance'!$E:$E,A34,'By Instance'!$C:$C,C34))</f>
        <v/>
      </c>
      <c r="F34" s="6">
        <f>IF(OR(E34="",E34=0,G34=""),"",G34/E34)</f>
        <v/>
      </c>
      <c r="G34" s="6">
        <f>IF(SUMIFS('By Instance'!$I:$I,'By Instance'!$E:$E,A34,'By Instance'!$C:$C,C34)=0,"",SUMIFS('By Instance'!$I:$I,'By Instance'!$E:$E,A34,'By Instance'!$C:$C,C34))</f>
        <v/>
      </c>
    </row>
    <row r="35">
      <c r="A35" s="2" t="inlineStr">
        <is>
          <t>AGPO0120</t>
        </is>
      </c>
      <c r="B35" s="3" t="inlineStr">
        <is>
          <t>TUBERIA PPR 25X6 MTS BETA S3</t>
        </is>
      </c>
      <c r="C35" s="3" t="inlineStr">
        <is>
          <t>General</t>
        </is>
      </c>
      <c r="D35" s="3" t="inlineStr">
        <is>
          <t>UN</t>
        </is>
      </c>
      <c r="E35" s="4">
        <f>IF(SUMIFS('By Instance'!$G:$G,'By Instance'!$E:$E,A35,'By Instance'!$C:$C,C35)=0,"",SUMIFS('By Instance'!$G:$G,'By Instance'!$E:$E,A35,'By Instance'!$C:$C,C35))</f>
        <v/>
      </c>
      <c r="F35" s="6">
        <f>IF(OR(E35="",E35=0,G35=""),"",G35/E35)</f>
        <v/>
      </c>
      <c r="G35" s="6">
        <f>IF(SUMIFS('By Instance'!$I:$I,'By Instance'!$E:$E,A35,'By Instance'!$C:$C,C35)=0,"",SUMIFS('By Instance'!$I:$I,'By Instance'!$E:$E,A35,'By Instance'!$C:$C,C35))</f>
        <v/>
      </c>
    </row>
    <row r="36">
      <c r="A36" s="2" t="inlineStr">
        <is>
          <t>AGPO0121</t>
        </is>
      </c>
      <c r="B36" s="3" t="inlineStr">
        <is>
          <t>TUBERIA PPR 32X6 MTS BETA S3</t>
        </is>
      </c>
      <c r="C36" s="3" t="inlineStr">
        <is>
          <t>General</t>
        </is>
      </c>
      <c r="D36" s="3" t="inlineStr">
        <is>
          <t>UN</t>
        </is>
      </c>
      <c r="E36" s="4">
        <f>IF(SUMIFS('By Instance'!$G:$G,'By Instance'!$E:$E,A36,'By Instance'!$C:$C,C36)=0,"",SUMIFS('By Instance'!$G:$G,'By Instance'!$E:$E,A36,'By Instance'!$C:$C,C36))</f>
        <v/>
      </c>
      <c r="F36" s="6">
        <f>IF(OR(E36="",E36=0,G36=""),"",G36/E36)</f>
        <v/>
      </c>
      <c r="G36" s="6">
        <f>IF(SUMIFS('By Instance'!$I:$I,'By Instance'!$E:$E,A36,'By Instance'!$C:$C,C36)=0,"",SUMIFS('By Instance'!$I:$I,'By Instance'!$E:$E,A36,'By Instance'!$C:$C,C36))</f>
        <v/>
      </c>
    </row>
    <row r="37">
      <c r="A37" s="2" t="inlineStr">
        <is>
          <t>AGPO0139</t>
        </is>
      </c>
      <c r="B37" s="3" t="inlineStr">
        <is>
          <t>TEE REDUCCION FUSION 32X25X25</t>
        </is>
      </c>
      <c r="C37" s="3" t="inlineStr">
        <is>
          <t>General</t>
        </is>
      </c>
      <c r="D37" s="3" t="inlineStr">
        <is>
          <t>UN</t>
        </is>
      </c>
      <c r="E37" s="4">
        <f>IF(SUMIFS('By Instance'!$G:$G,'By Instance'!$E:$E,A37,'By Instance'!$C:$C,C37)=0,"",SUMIFS('By Instance'!$G:$G,'By Instance'!$E:$E,A37,'By Instance'!$C:$C,C37))</f>
        <v/>
      </c>
      <c r="F37" s="6">
        <f>IF(OR(E37="",E37=0,G37=""),"",G37/E37)</f>
        <v/>
      </c>
      <c r="G37" s="6">
        <f>IF(SUMIFS('By Instance'!$I:$I,'By Instance'!$E:$E,A37,'By Instance'!$C:$C,C37)=0,"",SUMIFS('By Instance'!$I:$I,'By Instance'!$E:$E,A37,'By Instance'!$C:$C,C37))</f>
        <v/>
      </c>
    </row>
    <row r="38">
      <c r="A38" s="2" t="inlineStr">
        <is>
          <t>AGPO0160</t>
        </is>
      </c>
      <c r="B38" s="3" t="inlineStr">
        <is>
          <t>TEE PPR HE 025X1/2 R-MET</t>
        </is>
      </c>
      <c r="C38" s="3" t="inlineStr">
        <is>
          <t>General</t>
        </is>
      </c>
      <c r="D38" s="3" t="inlineStr">
        <is>
          <t>UN</t>
        </is>
      </c>
      <c r="E38" s="4">
        <f>IF(SUMIFS('By Instance'!$G:$G,'By Instance'!$E:$E,A38,'By Instance'!$C:$C,C38)=0,"",SUMIFS('By Instance'!$G:$G,'By Instance'!$E:$E,A38,'By Instance'!$C:$C,C38))</f>
        <v/>
      </c>
      <c r="F38" s="6">
        <f>IF(OR(E38="",E38=0,G38=""),"",G38/E38)</f>
        <v/>
      </c>
      <c r="G38" s="6">
        <f>IF(SUMIFS('By Instance'!$I:$I,'By Instance'!$E:$E,A38,'By Instance'!$C:$C,C38)=0,"",SUMIFS('By Instance'!$I:$I,'By Instance'!$E:$E,A38,'By Instance'!$C:$C,C38))</f>
        <v/>
      </c>
    </row>
    <row r="39">
      <c r="A39" s="2" t="inlineStr">
        <is>
          <t>AGPO0173</t>
        </is>
      </c>
      <c r="B39" s="3" t="inlineStr">
        <is>
          <t>CODO PPR GRIS/VERDE HE 025X3/4 R-MET</t>
        </is>
      </c>
      <c r="C39" s="3" t="inlineStr">
        <is>
          <t>General</t>
        </is>
      </c>
      <c r="D39" s="3" t="inlineStr">
        <is>
          <t>UN</t>
        </is>
      </c>
      <c r="E39" s="4">
        <f>IF(SUMIFS('By Instance'!$G:$G,'By Instance'!$E:$E,A39,'By Instance'!$C:$C,C39)=0,"",SUMIFS('By Instance'!$G:$G,'By Instance'!$E:$E,A39,'By Instance'!$C:$C,C39))</f>
        <v/>
      </c>
      <c r="F39" s="6">
        <f>IF(OR(E39="",E39=0,G39=""),"",G39/E39)</f>
        <v/>
      </c>
      <c r="G39" s="6">
        <f>IF(SUMIFS('By Instance'!$I:$I,'By Instance'!$E:$E,A39,'By Instance'!$C:$C,C39)=0,"",SUMIFS('By Instance'!$I:$I,'By Instance'!$E:$E,A39,'By Instance'!$C:$C,C39))</f>
        <v/>
      </c>
    </row>
    <row r="40">
      <c r="A40" s="2" t="inlineStr">
        <is>
          <t>AGPO0178</t>
        </is>
      </c>
      <c r="B40" s="3" t="inlineStr">
        <is>
          <t>TAPA GORRO PVC 3/4 HI</t>
        </is>
      </c>
      <c r="C40" s="3" t="inlineStr">
        <is>
          <t>General</t>
        </is>
      </c>
      <c r="D40" s="3" t="inlineStr">
        <is>
          <t>UN</t>
        </is>
      </c>
      <c r="E40" s="4">
        <f>IF(SUMIFS('By Instance'!$G:$G,'By Instance'!$E:$E,A40,'By Instance'!$C:$C,C40)=0,"",SUMIFS('By Instance'!$G:$G,'By Instance'!$E:$E,A40,'By Instance'!$C:$C,C40))</f>
        <v/>
      </c>
      <c r="F40" s="6">
        <f>IF(OR(E40="",E40=0,G40=""),"",G40/E40)</f>
        <v/>
      </c>
      <c r="G40" s="6">
        <f>IF(SUMIFS('By Instance'!$I:$I,'By Instance'!$E:$E,A40,'By Instance'!$C:$C,C40)=0,"",SUMIFS('By Instance'!$I:$I,'By Instance'!$E:$E,A40,'By Instance'!$C:$C,C40))</f>
        <v/>
      </c>
    </row>
    <row r="41">
      <c r="A41" s="2" t="inlineStr">
        <is>
          <t>AGPO0179</t>
        </is>
      </c>
      <c r="B41" s="3" t="inlineStr">
        <is>
          <t>TAPA GORRO PVC 1/2 HI</t>
        </is>
      </c>
      <c r="C41" s="3" t="inlineStr">
        <is>
          <t>General</t>
        </is>
      </c>
      <c r="D41" s="3" t="inlineStr">
        <is>
          <t>UN</t>
        </is>
      </c>
      <c r="E41" s="4">
        <f>IF(SUMIFS('By Instance'!$G:$G,'By Instance'!$E:$E,A41,'By Instance'!$C:$C,C41)=0,"",SUMIFS('By Instance'!$G:$G,'By Instance'!$E:$E,A41,'By Instance'!$C:$C,C41))</f>
        <v/>
      </c>
      <c r="F41" s="6">
        <f>IF(OR(E41="",E41=0,G41=""),"",G41/E41)</f>
        <v/>
      </c>
      <c r="G41" s="6">
        <f>IF(SUMIFS('By Instance'!$I:$I,'By Instance'!$E:$E,A41,'By Instance'!$C:$C,C41)=0,"",SUMIFS('By Instance'!$I:$I,'By Instance'!$E:$E,A41,'By Instance'!$C:$C,C41))</f>
        <v/>
      </c>
    </row>
    <row r="42">
      <c r="A42" s="2" t="inlineStr">
        <is>
          <t>AGPO0181</t>
        </is>
      </c>
      <c r="B42" s="3" t="inlineStr">
        <is>
          <t>ALARGADOR VASTAGO XL LARGO 110mm</t>
        </is>
      </c>
      <c r="C42" s="3" t="inlineStr">
        <is>
          <t>General</t>
        </is>
      </c>
      <c r="D42" s="3" t="inlineStr">
        <is>
          <t>UN</t>
        </is>
      </c>
      <c r="E42" s="4">
        <f>IF(SUMIFS('By Instance'!$G:$G,'By Instance'!$E:$E,A42,'By Instance'!$C:$C,C42)=0,"",SUMIFS('By Instance'!$G:$G,'By Instance'!$E:$E,A42,'By Instance'!$C:$C,C42))</f>
        <v/>
      </c>
      <c r="F42" s="6">
        <f>IF(OR(E42="",E42=0,G42=""),"",G42/E42)</f>
        <v/>
      </c>
      <c r="G42" s="6">
        <f>IF(SUMIFS('By Instance'!$I:$I,'By Instance'!$E:$E,A42,'By Instance'!$C:$C,C42)=0,"",SUMIFS('By Instance'!$I:$I,'By Instance'!$E:$E,A42,'By Instance'!$C:$C,C42))</f>
        <v/>
      </c>
    </row>
    <row r="43">
      <c r="A43" s="2" t="inlineStr">
        <is>
          <t>AGPO0183</t>
        </is>
      </c>
      <c r="B43" s="3" t="inlineStr">
        <is>
          <t>TERMINAL PPR HI 025X3/4</t>
        </is>
      </c>
      <c r="C43" s="3" t="inlineStr">
        <is>
          <t>General</t>
        </is>
      </c>
      <c r="D43" s="3" t="inlineStr">
        <is>
          <t>UN</t>
        </is>
      </c>
      <c r="E43" s="4">
        <f>IF(SUMIFS('By Instance'!$G:$G,'By Instance'!$E:$E,A43,'By Instance'!$C:$C,C43)=0,"",SUMIFS('By Instance'!$G:$G,'By Instance'!$E:$E,A43,'By Instance'!$C:$C,C43))</f>
        <v/>
      </c>
      <c r="F43" s="6">
        <f>IF(OR(E43="",E43=0,G43=""),"",G43/E43)</f>
        <v/>
      </c>
      <c r="G43" s="6">
        <f>IF(SUMIFS('By Instance'!$I:$I,'By Instance'!$E:$E,A43,'By Instance'!$C:$C,C43)=0,"",SUMIFS('By Instance'!$I:$I,'By Instance'!$E:$E,A43,'By Instance'!$C:$C,C43))</f>
        <v/>
      </c>
    </row>
    <row r="44">
      <c r="A44" s="2" t="inlineStr">
        <is>
          <t>AISL0023</t>
        </is>
      </c>
      <c r="B44" s="3" t="inlineStr">
        <is>
          <t>AISLA POLIESTER 36M2 50MMX2,4X15M (FISITERM)</t>
        </is>
      </c>
      <c r="C44" s="3" t="inlineStr">
        <is>
          <t>General</t>
        </is>
      </c>
      <c r="D44" s="3" t="inlineStr">
        <is>
          <t>ROLLO</t>
        </is>
      </c>
      <c r="E44" s="4">
        <f>IF(SUMIFS('By Instance'!$G:$G,'By Instance'!$E:$E,A44,'By Instance'!$C:$C,C44)=0,"",SUMIFS('By Instance'!$G:$G,'By Instance'!$E:$E,A44,'By Instance'!$C:$C,C44))</f>
        <v/>
      </c>
      <c r="F44" s="6">
        <f>IF(OR(E44="",E44=0,G44=""),"",G44/E44)</f>
        <v/>
      </c>
      <c r="G44" s="6">
        <f>IF(SUMIFS('By Instance'!$I:$I,'By Instance'!$E:$E,A44,'By Instance'!$C:$C,C44)=0,"",SUMIFS('By Instance'!$I:$I,'By Instance'!$E:$E,A44,'By Instance'!$C:$C,C44))</f>
        <v/>
      </c>
    </row>
    <row r="45">
      <c r="A45" s="2" t="inlineStr">
        <is>
          <t>AISL0027</t>
        </is>
      </c>
      <c r="B45" s="3" t="inlineStr">
        <is>
          <t>POLIESTIRENO EXPANDIDO A/D 4000X1000X130MM 10 KG M3</t>
        </is>
      </c>
      <c r="C45" s="3" t="inlineStr">
        <is>
          <t>General</t>
        </is>
      </c>
      <c r="D45" s="3" t="inlineStr">
        <is>
          <t>M2</t>
        </is>
      </c>
      <c r="E45" s="4">
        <f>IF(SUMIFS('By Instance'!$G:$G,'By Instance'!$E:$E,A45,'By Instance'!$C:$C,C45)=0,"",SUMIFS('By Instance'!$G:$G,'By Instance'!$E:$E,A45,'By Instance'!$C:$C,C45))</f>
        <v/>
      </c>
      <c r="F45" s="6">
        <f>IF(OR(E45="",E45=0,G45=""),"",G45/E45)</f>
        <v/>
      </c>
      <c r="G45" s="6">
        <f>IF(SUMIFS('By Instance'!$I:$I,'By Instance'!$E:$E,A45,'By Instance'!$C:$C,C45)=0,"",SUMIFS('By Instance'!$I:$I,'By Instance'!$E:$E,A45,'By Instance'!$C:$C,C45))</f>
        <v/>
      </c>
    </row>
    <row r="46">
      <c r="A46" s="2" t="inlineStr">
        <is>
          <t>AISL0028</t>
        </is>
      </c>
      <c r="B46" s="3" t="inlineStr">
        <is>
          <t>PANEL AISLANTE DE 365 MM X 1350 MM X 70 MM</t>
        </is>
      </c>
      <c r="C46" s="3" t="inlineStr">
        <is>
          <t>General</t>
        </is>
      </c>
      <c r="D46" s="3" t="inlineStr">
        <is>
          <t>UN</t>
        </is>
      </c>
      <c r="E46" s="4">
        <f>IF(SUMIFS('By Instance'!$G:$G,'By Instance'!$E:$E,A46,'By Instance'!$C:$C,C46)=0,"",SUMIFS('By Instance'!$G:$G,'By Instance'!$E:$E,A46,'By Instance'!$C:$C,C46))</f>
        <v/>
      </c>
      <c r="F46" s="6">
        <f>IF(OR(E46="",E46=0,G46=""),"",G46/E46)</f>
        <v/>
      </c>
      <c r="G46" s="6">
        <f>IF(SUMIFS('By Instance'!$I:$I,'By Instance'!$E:$E,A46,'By Instance'!$C:$C,C46)=0,"",SUMIFS('By Instance'!$I:$I,'By Instance'!$E:$E,A46,'By Instance'!$C:$C,C46))</f>
        <v/>
      </c>
    </row>
    <row r="47">
      <c r="A47" s="2" t="inlineStr">
        <is>
          <t>AISL0029</t>
        </is>
      </c>
      <c r="B47" s="3" t="inlineStr">
        <is>
          <t>PANEL AISLANTE DE 1305 MM X 675 MM X 70 MM</t>
        </is>
      </c>
      <c r="C47" s="3" t="inlineStr">
        <is>
          <t>General</t>
        </is>
      </c>
      <c r="D47" s="3" t="inlineStr">
        <is>
          <t>UN</t>
        </is>
      </c>
      <c r="E47" s="4">
        <f>IF(SUMIFS('By Instance'!$G:$G,'By Instance'!$E:$E,A47,'By Instance'!$C:$C,C47)=0,"",SUMIFS('By Instance'!$G:$G,'By Instance'!$E:$E,A47,'By Instance'!$C:$C,C47))</f>
        <v/>
      </c>
      <c r="F47" s="6">
        <f>IF(OR(E47="",E47=0,G47=""),"",G47/E47)</f>
        <v/>
      </c>
      <c r="G47" s="6">
        <f>IF(SUMIFS('By Instance'!$I:$I,'By Instance'!$E:$E,A47,'By Instance'!$C:$C,C47)=0,"",SUMIFS('By Instance'!$I:$I,'By Instance'!$E:$E,A47,'By Instance'!$C:$C,C47))</f>
        <v/>
      </c>
    </row>
    <row r="48">
      <c r="A48" s="2" t="inlineStr">
        <is>
          <t>AISL0030</t>
        </is>
      </c>
      <c r="B48" s="3" t="inlineStr">
        <is>
          <t>PANEL AISLANTE DE 1305 MM X 1350 MM X 70 MM</t>
        </is>
      </c>
      <c r="C48" s="3" t="inlineStr">
        <is>
          <t>General</t>
        </is>
      </c>
      <c r="D48" s="3" t="inlineStr">
        <is>
          <t>UN</t>
        </is>
      </c>
      <c r="E48" s="4">
        <f>IF(SUMIFS('By Instance'!$G:$G,'By Instance'!$E:$E,A48,'By Instance'!$C:$C,C48)=0,"",SUMIFS('By Instance'!$G:$G,'By Instance'!$E:$E,A48,'By Instance'!$C:$C,C48))</f>
        <v/>
      </c>
      <c r="F48" s="6">
        <f>IF(OR(E48="",E48=0,G48=""),"",G48/E48)</f>
        <v/>
      </c>
      <c r="G48" s="6">
        <f>IF(SUMIFS('By Instance'!$I:$I,'By Instance'!$E:$E,A48,'By Instance'!$C:$C,C48)=0,"",SUMIFS('By Instance'!$I:$I,'By Instance'!$E:$E,A48,'By Instance'!$C:$C,C48))</f>
        <v/>
      </c>
    </row>
    <row r="49">
      <c r="A49" s="2" t="inlineStr">
        <is>
          <t>AISL0031</t>
        </is>
      </c>
      <c r="B49" s="3" t="inlineStr">
        <is>
          <t>PANEL AISLANTE DE 1305 MM X 797 MM X 70 MM</t>
        </is>
      </c>
      <c r="C49" s="3" t="inlineStr">
        <is>
          <t>General</t>
        </is>
      </c>
      <c r="D49" s="3" t="inlineStr">
        <is>
          <t>UN</t>
        </is>
      </c>
      <c r="E49" s="4">
        <f>IF(SUMIFS('By Instance'!$G:$G,'By Instance'!$E:$E,A49,'By Instance'!$C:$C,C49)=0,"",SUMIFS('By Instance'!$G:$G,'By Instance'!$E:$E,A49,'By Instance'!$C:$C,C49))</f>
        <v/>
      </c>
      <c r="F49" s="6">
        <f>IF(OR(E49="",E49=0,G49=""),"",G49/E49)</f>
        <v/>
      </c>
      <c r="G49" s="6">
        <f>IF(SUMIFS('By Instance'!$I:$I,'By Instance'!$E:$E,A49,'By Instance'!$C:$C,C49)=0,"",SUMIFS('By Instance'!$I:$I,'By Instance'!$E:$E,A49,'By Instance'!$C:$C,C49))</f>
        <v/>
      </c>
    </row>
    <row r="50">
      <c r="A50" s="2" t="inlineStr">
        <is>
          <t>AISL0032</t>
        </is>
      </c>
      <c r="B50" s="3" t="inlineStr">
        <is>
          <t>PANEL AISLANTE DE 310 MM X 1063 MM X 50 MM</t>
        </is>
      </c>
      <c r="C50" s="3" t="inlineStr">
        <is>
          <t>General</t>
        </is>
      </c>
      <c r="D50" s="3" t="inlineStr">
        <is>
          <t>UN</t>
        </is>
      </c>
      <c r="E50" s="4">
        <f>IF(SUMIFS('By Instance'!$G:$G,'By Instance'!$E:$E,A50,'By Instance'!$C:$C,C50)=0,"",SUMIFS('By Instance'!$G:$G,'By Instance'!$E:$E,A50,'By Instance'!$C:$C,C50))</f>
        <v/>
      </c>
      <c r="F50" s="6">
        <f>IF(OR(E50="",E50=0,G50=""),"",G50/E50)</f>
        <v/>
      </c>
      <c r="G50" s="6">
        <f>IF(SUMIFS('By Instance'!$I:$I,'By Instance'!$E:$E,A50,'By Instance'!$C:$C,C50)=0,"",SUMIFS('By Instance'!$I:$I,'By Instance'!$E:$E,A50,'By Instance'!$C:$C,C50))</f>
        <v/>
      </c>
    </row>
    <row r="51">
      <c r="A51" s="2" t="inlineStr">
        <is>
          <t>AISL0033</t>
        </is>
      </c>
      <c r="B51" s="3" t="inlineStr">
        <is>
          <t>PANEL AISLANTE DE 1470 MM X 1063 MM X 50 MM</t>
        </is>
      </c>
      <c r="C51" s="3" t="inlineStr">
        <is>
          <t>General</t>
        </is>
      </c>
      <c r="D51" s="3" t="inlineStr">
        <is>
          <t>UN</t>
        </is>
      </c>
      <c r="E51" s="4">
        <f>IF(SUMIFS('By Instance'!$G:$G,'By Instance'!$E:$E,A51,'By Instance'!$C:$C,C51)=0,"",SUMIFS('By Instance'!$G:$G,'By Instance'!$E:$E,A51,'By Instance'!$C:$C,C51))</f>
        <v/>
      </c>
      <c r="F51" s="6">
        <f>IF(OR(E51="",E51=0,G51=""),"",G51/E51)</f>
        <v/>
      </c>
      <c r="G51" s="6">
        <f>IF(SUMIFS('By Instance'!$I:$I,'By Instance'!$E:$E,A51,'By Instance'!$C:$C,C51)=0,"",SUMIFS('By Instance'!$I:$I,'By Instance'!$E:$E,A51,'By Instance'!$C:$C,C51))</f>
        <v/>
      </c>
    </row>
    <row r="52">
      <c r="A52" s="2" t="inlineStr">
        <is>
          <t>ALCN0020</t>
        </is>
      </c>
      <c r="B52" s="3" t="inlineStr">
        <is>
          <t>CODO SANITARIO BLANCO 040X87,5° C/GOMA 2028809</t>
        </is>
      </c>
      <c r="C52" s="3" t="inlineStr">
        <is>
          <t>General</t>
        </is>
      </c>
      <c r="D52" s="3" t="inlineStr">
        <is>
          <t>UN</t>
        </is>
      </c>
      <c r="E52" s="4">
        <f>IF(SUMIFS('By Instance'!$G:$G,'By Instance'!$E:$E,A52,'By Instance'!$C:$C,C52)=0,"",SUMIFS('By Instance'!$G:$G,'By Instance'!$E:$E,A52,'By Instance'!$C:$C,C52))</f>
        <v/>
      </c>
      <c r="F52" s="6">
        <f>IF(OR(E52="",E52=0,G52=""),"",G52/E52)</f>
        <v/>
      </c>
      <c r="G52" s="6">
        <f>IF(SUMIFS('By Instance'!$I:$I,'By Instance'!$E:$E,A52,'By Instance'!$C:$C,C52)=0,"",SUMIFS('By Instance'!$I:$I,'By Instance'!$E:$E,A52,'By Instance'!$C:$C,C52))</f>
        <v/>
      </c>
    </row>
    <row r="53">
      <c r="A53" s="2" t="inlineStr">
        <is>
          <t>ALCN0022</t>
        </is>
      </c>
      <c r="B53" s="3" t="inlineStr">
        <is>
          <t>CODO SANITARIO BLANCO 050X87,5° 2028814</t>
        </is>
      </c>
      <c r="C53" s="3" t="inlineStr">
        <is>
          <t>General</t>
        </is>
      </c>
      <c r="D53" s="3" t="inlineStr">
        <is>
          <t>UN</t>
        </is>
      </c>
      <c r="E53" s="4">
        <f>IF(SUMIFS('By Instance'!$G:$G,'By Instance'!$E:$E,A53,'By Instance'!$C:$C,C53)=0,"",SUMIFS('By Instance'!$G:$G,'By Instance'!$E:$E,A53,'By Instance'!$C:$C,C53))</f>
        <v/>
      </c>
      <c r="F53" s="6">
        <f>IF(OR(E53="",E53=0,G53=""),"",G53/E53)</f>
        <v/>
      </c>
      <c r="G53" s="6">
        <f>IF(SUMIFS('By Instance'!$I:$I,'By Instance'!$E:$E,A53,'By Instance'!$C:$C,C53)=0,"",SUMIFS('By Instance'!$I:$I,'By Instance'!$E:$E,A53,'By Instance'!$C:$C,C53))</f>
        <v/>
      </c>
    </row>
    <row r="54">
      <c r="A54" s="2" t="inlineStr">
        <is>
          <t>ALCN0024</t>
        </is>
      </c>
      <c r="B54" s="3" t="inlineStr">
        <is>
          <t>CODO SANITARIO BLANCO 075X87,5° 2028818</t>
        </is>
      </c>
      <c r="C54" s="3" t="inlineStr">
        <is>
          <t>General</t>
        </is>
      </c>
      <c r="D54" s="3" t="inlineStr">
        <is>
          <t>UN</t>
        </is>
      </c>
      <c r="E54" s="4">
        <f>IF(SUMIFS('By Instance'!$G:$G,'By Instance'!$E:$E,A54,'By Instance'!$C:$C,C54)=0,"",SUMIFS('By Instance'!$G:$G,'By Instance'!$E:$E,A54,'By Instance'!$C:$C,C54))</f>
        <v/>
      </c>
      <c r="F54" s="6">
        <f>IF(OR(E54="",E54=0,G54=""),"",G54/E54)</f>
        <v/>
      </c>
      <c r="G54" s="6">
        <f>IF(SUMIFS('By Instance'!$I:$I,'By Instance'!$E:$E,A54,'By Instance'!$C:$C,C54)=0,"",SUMIFS('By Instance'!$I:$I,'By Instance'!$E:$E,A54,'By Instance'!$C:$C,C54))</f>
        <v/>
      </c>
    </row>
    <row r="55">
      <c r="A55" s="2" t="inlineStr">
        <is>
          <t>ALCN0025</t>
        </is>
      </c>
      <c r="B55" s="3" t="inlineStr">
        <is>
          <t>CODO SANITARIO BLANCO 110X45° 2028819</t>
        </is>
      </c>
      <c r="C55" s="3" t="inlineStr">
        <is>
          <t>General</t>
        </is>
      </c>
      <c r="D55" s="3" t="inlineStr">
        <is>
          <t>UN</t>
        </is>
      </c>
      <c r="E55" s="4">
        <f>IF(SUMIFS('By Instance'!$G:$G,'By Instance'!$E:$E,A55,'By Instance'!$C:$C,C55)=0,"",SUMIFS('By Instance'!$G:$G,'By Instance'!$E:$E,A55,'By Instance'!$C:$C,C55))</f>
        <v/>
      </c>
      <c r="F55" s="6">
        <f>IF(OR(E55="",E55=0,G55=""),"",G55/E55)</f>
        <v/>
      </c>
      <c r="G55" s="6">
        <f>IF(SUMIFS('By Instance'!$I:$I,'By Instance'!$E:$E,A55,'By Instance'!$C:$C,C55)=0,"",SUMIFS('By Instance'!$I:$I,'By Instance'!$E:$E,A55,'By Instance'!$C:$C,C55))</f>
        <v/>
      </c>
    </row>
    <row r="56">
      <c r="A56" s="2" t="inlineStr">
        <is>
          <t>ALCN0032</t>
        </is>
      </c>
      <c r="B56" s="3" t="inlineStr">
        <is>
          <t>COPLA SANITARIO BLANCO 040MM</t>
        </is>
      </c>
      <c r="C56" s="3" t="inlineStr">
        <is>
          <t>General</t>
        </is>
      </c>
      <c r="D56" s="3" t="inlineStr">
        <is>
          <t>UN</t>
        </is>
      </c>
      <c r="E56" s="4">
        <f>IF(SUMIFS('By Instance'!$G:$G,'By Instance'!$E:$E,A56,'By Instance'!$C:$C,C56)=0,"",SUMIFS('By Instance'!$G:$G,'By Instance'!$E:$E,A56,'By Instance'!$C:$C,C56))</f>
        <v/>
      </c>
      <c r="F56" s="6">
        <f>IF(OR(E56="",E56=0,G56=""),"",G56/E56)</f>
        <v/>
      </c>
      <c r="G56" s="6">
        <f>IF(SUMIFS('By Instance'!$I:$I,'By Instance'!$E:$E,A56,'By Instance'!$C:$C,C56)=0,"",SUMIFS('By Instance'!$I:$I,'By Instance'!$E:$E,A56,'By Instance'!$C:$C,C56))</f>
        <v/>
      </c>
    </row>
    <row r="57">
      <c r="A57" s="2" t="inlineStr">
        <is>
          <t>ALCN0033</t>
        </is>
      </c>
      <c r="B57" s="3" t="inlineStr">
        <is>
          <t>COPLA SANITARIO BLANCO 050MM 2028843</t>
        </is>
      </c>
      <c r="C57" s="3" t="inlineStr">
        <is>
          <t>General</t>
        </is>
      </c>
      <c r="D57" s="3" t="inlineStr">
        <is>
          <t>UN</t>
        </is>
      </c>
      <c r="E57" s="4">
        <f>IF(SUMIFS('By Instance'!$G:$G,'By Instance'!$E:$E,A57,'By Instance'!$C:$C,C57)=0,"",SUMIFS('By Instance'!$G:$G,'By Instance'!$E:$E,A57,'By Instance'!$C:$C,C57))</f>
        <v/>
      </c>
      <c r="F57" s="6">
        <f>IF(OR(E57="",E57=0,G57=""),"",G57/E57)</f>
        <v/>
      </c>
      <c r="G57" s="6">
        <f>IF(SUMIFS('By Instance'!$I:$I,'By Instance'!$E:$E,A57,'By Instance'!$C:$C,C57)=0,"",SUMIFS('By Instance'!$I:$I,'By Instance'!$E:$E,A57,'By Instance'!$C:$C,C57))</f>
        <v/>
      </c>
    </row>
    <row r="58">
      <c r="A58" s="2" t="inlineStr">
        <is>
          <t>ALCN0034</t>
        </is>
      </c>
      <c r="B58" s="3" t="inlineStr">
        <is>
          <t>COPLA SANITARIO BLANCO 075MM</t>
        </is>
      </c>
      <c r="C58" s="3" t="inlineStr">
        <is>
          <t>General</t>
        </is>
      </c>
      <c r="D58" s="3" t="inlineStr">
        <is>
          <t>UN</t>
        </is>
      </c>
      <c r="E58" s="4">
        <f>IF(SUMIFS('By Instance'!$G:$G,'By Instance'!$E:$E,A58,'By Instance'!$C:$C,C58)=0,"",SUMIFS('By Instance'!$G:$G,'By Instance'!$E:$E,A58,'By Instance'!$C:$C,C58))</f>
        <v/>
      </c>
      <c r="F58" s="6">
        <f>IF(OR(E58="",E58=0,G58=""),"",G58/E58)</f>
        <v/>
      </c>
      <c r="G58" s="6">
        <f>IF(SUMIFS('By Instance'!$I:$I,'By Instance'!$E:$E,A58,'By Instance'!$C:$C,C58)=0,"",SUMIFS('By Instance'!$I:$I,'By Instance'!$E:$E,A58,'By Instance'!$C:$C,C58))</f>
        <v/>
      </c>
    </row>
    <row r="59">
      <c r="A59" s="2" t="inlineStr">
        <is>
          <t>ALCN0061</t>
        </is>
      </c>
      <c r="B59" s="3" t="inlineStr">
        <is>
          <t>TAPA GORRO SANITARIO BLANCO 050MM</t>
        </is>
      </c>
      <c r="C59" s="3" t="inlineStr">
        <is>
          <t>General</t>
        </is>
      </c>
      <c r="D59" s="3" t="inlineStr">
        <is>
          <t>UN</t>
        </is>
      </c>
      <c r="E59" s="4">
        <f>IF(SUMIFS('By Instance'!$G:$G,'By Instance'!$E:$E,A59,'By Instance'!$C:$C,C59)=0,"",SUMIFS('By Instance'!$G:$G,'By Instance'!$E:$E,A59,'By Instance'!$C:$C,C59))</f>
        <v/>
      </c>
      <c r="F59" s="6">
        <f>IF(OR(E59="",E59=0,G59=""),"",G59/E59)</f>
        <v/>
      </c>
      <c r="G59" s="6">
        <f>IF(SUMIFS('By Instance'!$I:$I,'By Instance'!$E:$E,A59,'By Instance'!$C:$C,C59)=0,"",SUMIFS('By Instance'!$I:$I,'By Instance'!$E:$E,A59,'By Instance'!$C:$C,C59))</f>
        <v/>
      </c>
    </row>
    <row r="60">
      <c r="A60" s="2" t="inlineStr">
        <is>
          <t>ALCN0069</t>
        </is>
      </c>
      <c r="B60" s="3" t="inlineStr">
        <is>
          <t>TEE PVC SANIT. 110 X 50 MM BLANCO</t>
        </is>
      </c>
      <c r="C60" s="3" t="inlineStr">
        <is>
          <t>General</t>
        </is>
      </c>
      <c r="D60" s="3" t="inlineStr">
        <is>
          <t>UN</t>
        </is>
      </c>
      <c r="E60" s="4">
        <f>IF(SUMIFS('By Instance'!$G:$G,'By Instance'!$E:$E,A60,'By Instance'!$C:$C,C60)=0,"",SUMIFS('By Instance'!$G:$G,'By Instance'!$E:$E,A60,'By Instance'!$C:$C,C60))</f>
        <v/>
      </c>
      <c r="F60" s="6">
        <f>IF(OR(E60="",E60=0,G60=""),"",G60/E60)</f>
        <v/>
      </c>
      <c r="G60" s="6">
        <f>IF(SUMIFS('By Instance'!$I:$I,'By Instance'!$E:$E,A60,'By Instance'!$C:$C,C60)=0,"",SUMIFS('By Instance'!$I:$I,'By Instance'!$E:$E,A60,'By Instance'!$C:$C,C60))</f>
        <v/>
      </c>
    </row>
    <row r="61">
      <c r="A61" s="2" t="inlineStr">
        <is>
          <t>ALCN0077</t>
        </is>
      </c>
      <c r="B61" s="3" t="inlineStr">
        <is>
          <t>TEE REGISTRO SANITARIO BLANCO 110MM</t>
        </is>
      </c>
      <c r="C61" s="3" t="inlineStr">
        <is>
          <t>General</t>
        </is>
      </c>
      <c r="D61" s="3" t="inlineStr">
        <is>
          <t>UN</t>
        </is>
      </c>
      <c r="E61" s="4">
        <f>IF(SUMIFS('By Instance'!$G:$G,'By Instance'!$E:$E,A61,'By Instance'!$C:$C,C61)=0,"",SUMIFS('By Instance'!$G:$G,'By Instance'!$E:$E,A61,'By Instance'!$C:$C,C61))</f>
        <v/>
      </c>
      <c r="F61" s="6">
        <f>IF(OR(E61="",E61=0,G61=""),"",G61/E61)</f>
        <v/>
      </c>
      <c r="G61" s="6">
        <f>IF(SUMIFS('By Instance'!$I:$I,'By Instance'!$E:$E,A61,'By Instance'!$C:$C,C61)=0,"",SUMIFS('By Instance'!$I:$I,'By Instance'!$E:$E,A61,'By Instance'!$C:$C,C61))</f>
        <v/>
      </c>
    </row>
    <row r="62">
      <c r="A62" s="2" t="inlineStr">
        <is>
          <t>ALCN0086</t>
        </is>
      </c>
      <c r="B62" s="3" t="inlineStr">
        <is>
          <t>TUBERIA PVC SANITARIO 110 MM BLANCO 2036321*</t>
        </is>
      </c>
      <c r="C62" s="3" t="inlineStr">
        <is>
          <t>General</t>
        </is>
      </c>
      <c r="D62" s="3" t="inlineStr">
        <is>
          <t>ML</t>
        </is>
      </c>
      <c r="E62" s="4">
        <f>IF(SUMIFS('By Instance'!$G:$G,'By Instance'!$E:$E,A62,'By Instance'!$C:$C,C62)=0,"",SUMIFS('By Instance'!$G:$G,'By Instance'!$E:$E,A62,'By Instance'!$C:$C,C62))</f>
        <v/>
      </c>
      <c r="F62" s="6">
        <f>IF(OR(E62="",E62=0,G62=""),"",G62/E62)</f>
        <v/>
      </c>
      <c r="G62" s="6">
        <f>IF(SUMIFS('By Instance'!$I:$I,'By Instance'!$E:$E,A62,'By Instance'!$C:$C,C62)=0,"",SUMIFS('By Instance'!$I:$I,'By Instance'!$E:$E,A62,'By Instance'!$C:$C,C62))</f>
        <v/>
      </c>
    </row>
    <row r="63">
      <c r="A63" s="2" t="inlineStr">
        <is>
          <t>ALCN0087</t>
        </is>
      </c>
      <c r="B63" s="3" t="inlineStr">
        <is>
          <t>TUBERIA PVC SANITARIO 50 MM BLANCO 2036319*</t>
        </is>
      </c>
      <c r="C63" s="3" t="inlineStr">
        <is>
          <t>General</t>
        </is>
      </c>
      <c r="D63" s="3" t="inlineStr">
        <is>
          <t>ML</t>
        </is>
      </c>
      <c r="E63" s="4">
        <f>IF(SUMIFS('By Instance'!$G:$G,'By Instance'!$E:$E,A63,'By Instance'!$C:$C,C63)=0,"",SUMIFS('By Instance'!$G:$G,'By Instance'!$E:$E,A63,'By Instance'!$C:$C,C63))</f>
        <v/>
      </c>
      <c r="F63" s="6">
        <f>IF(OR(E63="",E63=0,G63=""),"",G63/E63)</f>
        <v/>
      </c>
      <c r="G63" s="6">
        <f>IF(SUMIFS('By Instance'!$I:$I,'By Instance'!$E:$E,A63,'By Instance'!$C:$C,C63)=0,"",SUMIFS('By Instance'!$I:$I,'By Instance'!$E:$E,A63,'By Instance'!$C:$C,C63))</f>
        <v/>
      </c>
    </row>
    <row r="64">
      <c r="A64" s="2" t="inlineStr">
        <is>
          <t>ALCN0088</t>
        </is>
      </c>
      <c r="B64" s="3" t="inlineStr">
        <is>
          <t>TUBERIA PVC SANITARIO 75 MM BLANCO 2036320*</t>
        </is>
      </c>
      <c r="C64" s="3" t="inlineStr">
        <is>
          <t>General</t>
        </is>
      </c>
      <c r="D64" s="3" t="inlineStr">
        <is>
          <t>ML</t>
        </is>
      </c>
      <c r="E64" s="4">
        <f>IF(SUMIFS('By Instance'!$G:$G,'By Instance'!$E:$E,A64,'By Instance'!$C:$C,C64)=0,"",SUMIFS('By Instance'!$G:$G,'By Instance'!$E:$E,A64,'By Instance'!$C:$C,C64))</f>
        <v/>
      </c>
      <c r="F64" s="6">
        <f>IF(OR(E64="",E64=0,G64=""),"",G64/E64)</f>
        <v/>
      </c>
      <c r="G64" s="6">
        <f>IF(SUMIFS('By Instance'!$I:$I,'By Instance'!$E:$E,A64,'By Instance'!$C:$C,C64)=0,"",SUMIFS('By Instance'!$I:$I,'By Instance'!$E:$E,A64,'By Instance'!$C:$C,C64))</f>
        <v/>
      </c>
    </row>
    <row r="65">
      <c r="A65" s="2" t="inlineStr">
        <is>
          <t>ALCN0098</t>
        </is>
      </c>
      <c r="B65" s="3" t="inlineStr">
        <is>
          <t>COPLA SANITARIO BLANCO 110MM 2028847</t>
        </is>
      </c>
      <c r="C65" s="3" t="inlineStr">
        <is>
          <t>General</t>
        </is>
      </c>
      <c r="D65" s="3" t="inlineStr">
        <is>
          <t>UN</t>
        </is>
      </c>
      <c r="E65" s="4">
        <f>IF(SUMIFS('By Instance'!$G:$G,'By Instance'!$E:$E,A65,'By Instance'!$C:$C,C65)=0,"",SUMIFS('By Instance'!$G:$G,'By Instance'!$E:$E,A65,'By Instance'!$C:$C,C65))</f>
        <v/>
      </c>
      <c r="F65" s="6">
        <f>IF(OR(E65="",E65=0,G65=""),"",G65/E65)</f>
        <v/>
      </c>
      <c r="G65" s="6">
        <f>IF(SUMIFS('By Instance'!$I:$I,'By Instance'!$E:$E,A65,'By Instance'!$C:$C,C65)=0,"",SUMIFS('By Instance'!$I:$I,'By Instance'!$E:$E,A65,'By Instance'!$C:$C,C65))</f>
        <v/>
      </c>
    </row>
    <row r="66">
      <c r="A66" s="2" t="inlineStr">
        <is>
          <t>ALCN0099</t>
        </is>
      </c>
      <c r="B66" s="3" t="inlineStr">
        <is>
          <t>REDUCCION SANITARIO BLANCO 050X040MM 2028950</t>
        </is>
      </c>
      <c r="C66" s="3" t="inlineStr">
        <is>
          <t>General</t>
        </is>
      </c>
      <c r="D66" s="3" t="inlineStr">
        <is>
          <t>UN</t>
        </is>
      </c>
      <c r="E66" s="4">
        <f>IF(SUMIFS('By Instance'!$G:$G,'By Instance'!$E:$E,A66,'By Instance'!$C:$C,C66)=0,"",SUMIFS('By Instance'!$G:$G,'By Instance'!$E:$E,A66,'By Instance'!$C:$C,C66))</f>
        <v/>
      </c>
      <c r="F66" s="6">
        <f>IF(OR(E66="",E66=0,G66=""),"",G66/E66)</f>
        <v/>
      </c>
      <c r="G66" s="6">
        <f>IF(SUMIFS('By Instance'!$I:$I,'By Instance'!$E:$E,A66,'By Instance'!$C:$C,C66)=0,"",SUMIFS('By Instance'!$I:$I,'By Instance'!$E:$E,A66,'By Instance'!$C:$C,C66))</f>
        <v/>
      </c>
    </row>
    <row r="67">
      <c r="A67" s="2" t="inlineStr">
        <is>
          <t>ALCN0100</t>
        </is>
      </c>
      <c r="B67" s="3" t="inlineStr">
        <is>
          <t>REDUCCION SANITARIO BLANCO 110X050MM</t>
        </is>
      </c>
      <c r="C67" s="3" t="inlineStr">
        <is>
          <t>General</t>
        </is>
      </c>
      <c r="D67" s="3" t="inlineStr">
        <is>
          <t>UN</t>
        </is>
      </c>
      <c r="E67" s="4">
        <f>IF(SUMIFS('By Instance'!$G:$G,'By Instance'!$E:$E,A67,'By Instance'!$C:$C,C67)=0,"",SUMIFS('By Instance'!$G:$G,'By Instance'!$E:$E,A67,'By Instance'!$C:$C,C67))</f>
        <v/>
      </c>
      <c r="F67" s="6">
        <f>IF(OR(E67="",E67=0,G67=""),"",G67/E67)</f>
        <v/>
      </c>
      <c r="G67" s="6">
        <f>IF(SUMIFS('By Instance'!$I:$I,'By Instance'!$E:$E,A67,'By Instance'!$C:$C,C67)=0,"",SUMIFS('By Instance'!$I:$I,'By Instance'!$E:$E,A67,'By Instance'!$C:$C,C67))</f>
        <v/>
      </c>
    </row>
    <row r="68">
      <c r="A68" s="2" t="inlineStr">
        <is>
          <t>ALCN0104</t>
        </is>
      </c>
      <c r="B68" s="3" t="inlineStr">
        <is>
          <t>TEE SANITARIO BLANCO 050X050MM 2029079</t>
        </is>
      </c>
      <c r="C68" s="3" t="inlineStr">
        <is>
          <t>General</t>
        </is>
      </c>
      <c r="D68" s="3" t="inlineStr">
        <is>
          <t>UN</t>
        </is>
      </c>
      <c r="E68" s="4">
        <f>IF(SUMIFS('By Instance'!$G:$G,'By Instance'!$E:$E,A68,'By Instance'!$C:$C,C68)=0,"",SUMIFS('By Instance'!$G:$G,'By Instance'!$E:$E,A68,'By Instance'!$C:$C,C68))</f>
        <v/>
      </c>
      <c r="F68" s="6">
        <f>IF(OR(E68="",E68=0,G68=""),"",G68/E68)</f>
        <v/>
      </c>
      <c r="G68" s="6">
        <f>IF(SUMIFS('By Instance'!$I:$I,'By Instance'!$E:$E,A68,'By Instance'!$C:$C,C68)=0,"",SUMIFS('By Instance'!$I:$I,'By Instance'!$E:$E,A68,'By Instance'!$C:$C,C68))</f>
        <v/>
      </c>
    </row>
    <row r="69">
      <c r="A69" s="2" t="inlineStr">
        <is>
          <t>ALCN0105</t>
        </is>
      </c>
      <c r="B69" s="3" t="inlineStr">
        <is>
          <t>TEE SANITARIO BLANCO 110MM 2029087</t>
        </is>
      </c>
      <c r="C69" s="3" t="inlineStr">
        <is>
          <t>General</t>
        </is>
      </c>
      <c r="D69" s="3" t="inlineStr">
        <is>
          <t>UN</t>
        </is>
      </c>
      <c r="E69" s="4">
        <f>IF(SUMIFS('By Instance'!$G:$G,'By Instance'!$E:$E,A69,'By Instance'!$C:$C,C69)=0,"",SUMIFS('By Instance'!$G:$G,'By Instance'!$E:$E,A69,'By Instance'!$C:$C,C69))</f>
        <v/>
      </c>
      <c r="F69" s="6">
        <f>IF(OR(E69="",E69=0,G69=""),"",G69/E69)</f>
        <v/>
      </c>
      <c r="G69" s="6">
        <f>IF(SUMIFS('By Instance'!$I:$I,'By Instance'!$E:$E,A69,'By Instance'!$C:$C,C69)=0,"",SUMIFS('By Instance'!$I:$I,'By Instance'!$E:$E,A69,'By Instance'!$C:$C,C69))</f>
        <v/>
      </c>
    </row>
    <row r="70">
      <c r="A70" s="2" t="inlineStr">
        <is>
          <t>ALCN0107</t>
        </is>
      </c>
      <c r="B70" s="3" t="inlineStr">
        <is>
          <t>TEE SANITARIO BLANCO 110X075MM 2029093</t>
        </is>
      </c>
      <c r="C70" s="3" t="inlineStr">
        <is>
          <t>General</t>
        </is>
      </c>
      <c r="D70" s="3" t="inlineStr">
        <is>
          <t>UN</t>
        </is>
      </c>
      <c r="E70" s="4">
        <f>IF(SUMIFS('By Instance'!$G:$G,'By Instance'!$E:$E,A70,'By Instance'!$C:$C,C70)=0,"",SUMIFS('By Instance'!$G:$G,'By Instance'!$E:$E,A70,'By Instance'!$C:$C,C70))</f>
        <v/>
      </c>
      <c r="F70" s="6">
        <f>IF(OR(E70="",E70=0,G70=""),"",G70/E70)</f>
        <v/>
      </c>
      <c r="G70" s="6">
        <f>IF(SUMIFS('By Instance'!$I:$I,'By Instance'!$E:$E,A70,'By Instance'!$C:$C,C70)=0,"",SUMIFS('By Instance'!$I:$I,'By Instance'!$E:$E,A70,'By Instance'!$C:$C,C70))</f>
        <v/>
      </c>
    </row>
    <row r="71">
      <c r="A71" s="2" t="inlineStr">
        <is>
          <t>ALCN0113</t>
        </is>
      </c>
      <c r="B71" s="3" t="inlineStr">
        <is>
          <t>CAPUCHON GOMA SANITARIO 050X040</t>
        </is>
      </c>
      <c r="C71" s="3" t="inlineStr">
        <is>
          <t>General</t>
        </is>
      </c>
      <c r="D71" s="3" t="inlineStr">
        <is>
          <t>UN</t>
        </is>
      </c>
      <c r="E71" s="4">
        <f>IF(SUMIFS('By Instance'!$G:$G,'By Instance'!$E:$E,A71,'By Instance'!$C:$C,C71)=0,"",SUMIFS('By Instance'!$G:$G,'By Instance'!$E:$E,A71,'By Instance'!$C:$C,C71))</f>
        <v/>
      </c>
      <c r="F71" s="6">
        <f>IF(OR(E71="",E71=0,G71=""),"",G71/E71)</f>
        <v/>
      </c>
      <c r="G71" s="6">
        <f>IF(SUMIFS('By Instance'!$I:$I,'By Instance'!$E:$E,A71,'By Instance'!$C:$C,C71)=0,"",SUMIFS('By Instance'!$I:$I,'By Instance'!$E:$E,A71,'By Instance'!$C:$C,C71))</f>
        <v/>
      </c>
    </row>
    <row r="72">
      <c r="A72" s="2" t="inlineStr">
        <is>
          <t>ALCN0115</t>
        </is>
      </c>
      <c r="B72" s="3" t="inlineStr">
        <is>
          <t>CODO PVC SANITARIO 40 X 45° BLANCO 2028807</t>
        </is>
      </c>
      <c r="C72" s="3" t="inlineStr">
        <is>
          <t>General</t>
        </is>
      </c>
      <c r="D72" s="3" t="inlineStr">
        <is>
          <t>UN</t>
        </is>
      </c>
      <c r="E72" s="4">
        <f>IF(SUMIFS('By Instance'!$G:$G,'By Instance'!$E:$E,A72,'By Instance'!$C:$C,C72)=0,"",SUMIFS('By Instance'!$G:$G,'By Instance'!$E:$E,A72,'By Instance'!$C:$C,C72))</f>
        <v/>
      </c>
      <c r="F72" s="6">
        <f>IF(OR(E72="",E72=0,G72=""),"",G72/E72)</f>
        <v/>
      </c>
      <c r="G72" s="6">
        <f>IF(SUMIFS('By Instance'!$I:$I,'By Instance'!$E:$E,A72,'By Instance'!$C:$C,C72)=0,"",SUMIFS('By Instance'!$I:$I,'By Instance'!$E:$E,A72,'By Instance'!$C:$C,C72))</f>
        <v/>
      </c>
    </row>
    <row r="73">
      <c r="A73" s="2" t="inlineStr">
        <is>
          <t>ALCN0122</t>
        </is>
      </c>
      <c r="B73" s="3" t="inlineStr">
        <is>
          <t>TUBERIA PVC SANITARIO 40 MM BLANCO *2036308*</t>
        </is>
      </c>
      <c r="C73" s="3" t="inlineStr">
        <is>
          <t>General</t>
        </is>
      </c>
      <c r="D73" s="3" t="inlineStr">
        <is>
          <t>UN</t>
        </is>
      </c>
      <c r="E73" s="4">
        <f>IF(SUMIFS('By Instance'!$G:$G,'By Instance'!$E:$E,A73,'By Instance'!$C:$C,C73)=0,"",SUMIFS('By Instance'!$G:$G,'By Instance'!$E:$E,A73,'By Instance'!$C:$C,C73))</f>
        <v/>
      </c>
      <c r="F73" s="6">
        <f>IF(OR(E73="",E73=0,G73=""),"",G73/E73)</f>
        <v/>
      </c>
      <c r="G73" s="6">
        <f>IF(SUMIFS('By Instance'!$I:$I,'By Instance'!$E:$E,A73,'By Instance'!$C:$C,C73)=0,"",SUMIFS('By Instance'!$I:$I,'By Instance'!$E:$E,A73,'By Instance'!$C:$C,C73))</f>
        <v/>
      </c>
    </row>
    <row r="74">
      <c r="A74" s="2" t="inlineStr">
        <is>
          <t>ALCN0124</t>
        </is>
      </c>
      <c r="B74" s="3" t="inlineStr">
        <is>
          <t>VALVULA DE VENTEO MINI VENT DN32-50      9067906</t>
        </is>
      </c>
      <c r="C74" s="3" t="inlineStr">
        <is>
          <t>General</t>
        </is>
      </c>
      <c r="D74" s="3" t="inlineStr">
        <is>
          <t>UN</t>
        </is>
      </c>
      <c r="E74" s="4">
        <f>IF(SUMIFS('By Instance'!$G:$G,'By Instance'!$E:$E,A74,'By Instance'!$C:$C,C74)=0,"",SUMIFS('By Instance'!$G:$G,'By Instance'!$E:$E,A74,'By Instance'!$C:$C,C74))</f>
        <v/>
      </c>
      <c r="F74" s="6">
        <f>IF(OR(E74="",E74=0,G74=""),"",G74/E74)</f>
        <v/>
      </c>
      <c r="G74" s="6">
        <f>IF(SUMIFS('By Instance'!$I:$I,'By Instance'!$E:$E,A74,'By Instance'!$C:$C,C74)=0,"",SUMIFS('By Instance'!$I:$I,'By Instance'!$E:$E,A74,'By Instance'!$C:$C,C74))</f>
        <v/>
      </c>
    </row>
    <row r="75">
      <c r="A75" s="2" t="inlineStr">
        <is>
          <t>ALCN0144</t>
        </is>
      </c>
      <c r="B75" s="3" t="inlineStr">
        <is>
          <t>CODO SANITARIO BANCO REGISTRO C/G 110X87,5  (2028327)</t>
        </is>
      </c>
      <c r="C75" s="3" t="inlineStr">
        <is>
          <t>General</t>
        </is>
      </c>
      <c r="D75" s="3" t="inlineStr">
        <is>
          <t>UN</t>
        </is>
      </c>
      <c r="E75" s="4">
        <f>IF(SUMIFS('By Instance'!$G:$G,'By Instance'!$E:$E,A75,'By Instance'!$C:$C,C75)=0,"",SUMIFS('By Instance'!$G:$G,'By Instance'!$E:$E,A75,'By Instance'!$C:$C,C75))</f>
        <v/>
      </c>
      <c r="F75" s="6">
        <f>IF(OR(E75="",E75=0,G75=""),"",G75/E75)</f>
        <v/>
      </c>
      <c r="G75" s="6">
        <f>IF(SUMIFS('By Instance'!$I:$I,'By Instance'!$E:$E,A75,'By Instance'!$C:$C,C75)=0,"",SUMIFS('By Instance'!$I:$I,'By Instance'!$E:$E,A75,'By Instance'!$C:$C,C75))</f>
        <v/>
      </c>
    </row>
    <row r="76">
      <c r="A76" s="2" t="inlineStr">
        <is>
          <t>ARBA0011</t>
        </is>
      </c>
      <c r="B76" s="3" t="inlineStr">
        <is>
          <t>BURLETE TERMINACIÓN P/PLATO DUCHA 3MTS</t>
        </is>
      </c>
      <c r="C76" s="3" t="inlineStr">
        <is>
          <t>General</t>
        </is>
      </c>
      <c r="D76" s="3" t="inlineStr">
        <is>
          <t>UN</t>
        </is>
      </c>
      <c r="E76" s="4">
        <f>IF(SUMIFS('By Instance'!$G:$G,'By Instance'!$E:$E,A76,'By Instance'!$C:$C,C76)=0,"",SUMIFS('By Instance'!$G:$G,'By Instance'!$E:$E,A76,'By Instance'!$C:$C,C76))</f>
        <v/>
      </c>
      <c r="F76" s="6">
        <f>IF(OR(E76="",E76=0,G76=""),"",G76/E76)</f>
        <v/>
      </c>
      <c r="G76" s="6">
        <f>IF(SUMIFS('By Instance'!$I:$I,'By Instance'!$E:$E,A76,'By Instance'!$C:$C,C76)=0,"",SUMIFS('By Instance'!$I:$I,'By Instance'!$E:$E,A76,'By Instance'!$C:$C,C76))</f>
        <v/>
      </c>
    </row>
    <row r="77">
      <c r="A77" s="2" t="inlineStr">
        <is>
          <t>ARBA0013</t>
        </is>
      </c>
      <c r="B77" s="3" t="inlineStr">
        <is>
          <t>CAPUCHON GOMA SANITARIO 040X032</t>
        </is>
      </c>
      <c r="C77" s="3" t="inlineStr">
        <is>
          <t>General</t>
        </is>
      </c>
      <c r="D77" s="3" t="inlineStr">
        <is>
          <t>UN</t>
        </is>
      </c>
      <c r="E77" s="4">
        <f>IF(SUMIFS('By Instance'!$G:$G,'By Instance'!$E:$E,A77,'By Instance'!$C:$C,C77)=0,"",SUMIFS('By Instance'!$G:$G,'By Instance'!$E:$E,A77,'By Instance'!$C:$C,C77))</f>
        <v/>
      </c>
      <c r="F77" s="6">
        <f>IF(OR(E77="",E77=0,G77=""),"",G77/E77)</f>
        <v/>
      </c>
      <c r="G77" s="6">
        <f>IF(SUMIFS('By Instance'!$I:$I,'By Instance'!$E:$E,A77,'By Instance'!$C:$C,C77)=0,"",SUMIFS('By Instance'!$I:$I,'By Instance'!$E:$E,A77,'By Instance'!$C:$C,C77))</f>
        <v/>
      </c>
    </row>
    <row r="78">
      <c r="A78" s="2" t="inlineStr">
        <is>
          <t>ARBA0019</t>
        </is>
      </c>
      <c r="B78" s="3" t="inlineStr">
        <is>
          <t>DESAGUE PLASTICO TINA C/REBALSE C/SIFON HOFFENS</t>
        </is>
      </c>
      <c r="C78" s="3" t="inlineStr">
        <is>
          <t>General</t>
        </is>
      </c>
      <c r="D78" s="3" t="inlineStr">
        <is>
          <t>UN</t>
        </is>
      </c>
      <c r="E78" s="4">
        <f>IF(SUMIFS('By Instance'!$G:$G,'By Instance'!$E:$E,A78,'By Instance'!$C:$C,C78)=0,"",SUMIFS('By Instance'!$G:$G,'By Instance'!$E:$E,A78,'By Instance'!$C:$C,C78))</f>
        <v/>
      </c>
      <c r="F78" s="6">
        <f>IF(OR(E78="",E78=0,G78=""),"",G78/E78)</f>
        <v/>
      </c>
      <c r="G78" s="6">
        <f>IF(SUMIFS('By Instance'!$I:$I,'By Instance'!$E:$E,A78,'By Instance'!$C:$C,C78)=0,"",SUMIFS('By Instance'!$I:$I,'By Instance'!$E:$E,A78,'By Instance'!$C:$C,C78))</f>
        <v/>
      </c>
    </row>
    <row r="79">
      <c r="A79" s="2" t="inlineStr">
        <is>
          <t>ARBA0037</t>
        </is>
      </c>
      <c r="B79" s="3" t="inlineStr">
        <is>
          <t>KIT INSTALACION LAVAMANOS STANDARD</t>
        </is>
      </c>
      <c r="C79" s="3" t="inlineStr">
        <is>
          <t>General</t>
        </is>
      </c>
      <c r="D79" s="3" t="inlineStr">
        <is>
          <t>UN</t>
        </is>
      </c>
      <c r="E79" s="4">
        <f>IF(SUMIFS('By Instance'!$G:$G,'By Instance'!$E:$E,A79,'By Instance'!$C:$C,C79)=0,"",SUMIFS('By Instance'!$G:$G,'By Instance'!$E:$E,A79,'By Instance'!$C:$C,C79))</f>
        <v/>
      </c>
      <c r="F79" s="6">
        <f>IF(OR(E79="",E79=0,G79=""),"",G79/E79)</f>
        <v/>
      </c>
      <c r="G79" s="6">
        <f>IF(SUMIFS('By Instance'!$I:$I,'By Instance'!$E:$E,A79,'By Instance'!$C:$C,C79)=0,"",SUMIFS('By Instance'!$I:$I,'By Instance'!$E:$E,A79,'By Instance'!$C:$C,C79))</f>
        <v/>
      </c>
    </row>
    <row r="80">
      <c r="A80" s="2" t="inlineStr">
        <is>
          <t>ARBA0062</t>
        </is>
      </c>
      <c r="B80" s="3" t="inlineStr">
        <is>
          <t>PIEZA BASE TINA 7227A 600X280X165MM 30KG/M3</t>
        </is>
      </c>
      <c r="C80" s="3" t="inlineStr">
        <is>
          <t>General</t>
        </is>
      </c>
      <c r="D80" s="3" t="inlineStr">
        <is>
          <t>UN</t>
        </is>
      </c>
      <c r="E80" s="4">
        <f>IF(SUMIFS('By Instance'!$G:$G,'By Instance'!$E:$E,A80,'By Instance'!$C:$C,C80)=0,"",SUMIFS('By Instance'!$G:$G,'By Instance'!$E:$E,A80,'By Instance'!$C:$C,C80))</f>
        <v/>
      </c>
      <c r="F80" s="6">
        <f>IF(OR(E80="",E80=0,G80=""),"",G80/E80)</f>
        <v/>
      </c>
      <c r="G80" s="6">
        <f>IF(SUMIFS('By Instance'!$I:$I,'By Instance'!$E:$E,A80,'By Instance'!$C:$C,C80)=0,"",SUMIFS('By Instance'!$I:$I,'By Instance'!$E:$E,A80,'By Instance'!$C:$C,C80))</f>
        <v/>
      </c>
    </row>
    <row r="81">
      <c r="A81" s="2" t="inlineStr">
        <is>
          <t>ARBA0107</t>
        </is>
      </c>
      <c r="B81" s="3" t="inlineStr">
        <is>
          <t>TINA BAÑO 1200x0700x360 BLANCA</t>
        </is>
      </c>
      <c r="C81" s="3" t="inlineStr">
        <is>
          <t>General</t>
        </is>
      </c>
      <c r="D81" s="3" t="inlineStr">
        <is>
          <t>UN</t>
        </is>
      </c>
      <c r="E81" s="4">
        <f>IF(SUMIFS('By Instance'!$G:$G,'By Instance'!$E:$E,A81,'By Instance'!$C:$C,C81)=0,"",SUMIFS('By Instance'!$G:$G,'By Instance'!$E:$E,A81,'By Instance'!$C:$C,C81))</f>
        <v/>
      </c>
      <c r="F81" s="6">
        <f>IF(OR(E81="",E81=0,G81=""),"",G81/E81)</f>
        <v/>
      </c>
      <c r="G81" s="6">
        <f>IF(SUMIFS('By Instance'!$I:$I,'By Instance'!$E:$E,A81,'By Instance'!$C:$C,C81)=0,"",SUMIFS('By Instance'!$I:$I,'By Instance'!$E:$E,A81,'By Instance'!$C:$C,C81))</f>
        <v/>
      </c>
    </row>
    <row r="82">
      <c r="A82" s="2" t="inlineStr">
        <is>
          <t>ARBA0149</t>
        </is>
      </c>
      <c r="B82" s="3" t="inlineStr">
        <is>
          <t>BARRA BAÑO EXTENSIBLE 90-160 BLANCO</t>
        </is>
      </c>
      <c r="C82" s="3" t="inlineStr">
        <is>
          <t>General</t>
        </is>
      </c>
      <c r="D82" s="3" t="inlineStr">
        <is>
          <t>UN</t>
        </is>
      </c>
      <c r="E82" s="4">
        <f>IF(SUMIFS('By Instance'!$G:$G,'By Instance'!$E:$E,A82,'By Instance'!$C:$C,C82)=0,"",SUMIFS('By Instance'!$G:$G,'By Instance'!$E:$E,A82,'By Instance'!$C:$C,C82))</f>
        <v/>
      </c>
      <c r="F82" s="6">
        <f>IF(OR(E82="",E82=0,G82=""),"",G82/E82)</f>
        <v/>
      </c>
      <c r="G82" s="6">
        <f>IF(SUMIFS('By Instance'!$I:$I,'By Instance'!$E:$E,A82,'By Instance'!$C:$C,C82)=0,"",SUMIFS('By Instance'!$I:$I,'By Instance'!$E:$E,A82,'By Instance'!$C:$C,C82))</f>
        <v/>
      </c>
    </row>
    <row r="83">
      <c r="A83" s="2" t="inlineStr">
        <is>
          <t>ARBA0193</t>
        </is>
      </c>
      <c r="B83" s="3" t="inlineStr">
        <is>
          <t>JUEGO 2P WC CADIZ C/ASTO SOFT CLOSE</t>
        </is>
      </c>
      <c r="C83" s="3" t="inlineStr">
        <is>
          <t>General</t>
        </is>
      </c>
      <c r="D83" s="3" t="inlineStr">
        <is>
          <t>UN</t>
        </is>
      </c>
      <c r="E83" s="4">
        <f>IF(SUMIFS('By Instance'!$G:$G,'By Instance'!$E:$E,A83,'By Instance'!$C:$C,C83)=0,"",SUMIFS('By Instance'!$G:$G,'By Instance'!$E:$E,A83,'By Instance'!$C:$C,C83))</f>
        <v/>
      </c>
      <c r="F83" s="6">
        <f>IF(OR(E83="",E83=0,G83=""),"",G83/E83)</f>
        <v/>
      </c>
      <c r="G83" s="6">
        <f>IF(SUMIFS('By Instance'!$I:$I,'By Instance'!$E:$E,A83,'By Instance'!$C:$C,C83)=0,"",SUMIFS('By Instance'!$I:$I,'By Instance'!$E:$E,A83,'By Instance'!$C:$C,C83))</f>
        <v/>
      </c>
    </row>
    <row r="84">
      <c r="A84" s="2" t="inlineStr">
        <is>
          <t>ARBA0196</t>
        </is>
      </c>
      <c r="B84" s="3" t="inlineStr">
        <is>
          <t>TUBO DE CONEXIÓN WC AL MURO</t>
        </is>
      </c>
      <c r="C84" s="3" t="inlineStr">
        <is>
          <t>General</t>
        </is>
      </c>
      <c r="D84" s="3" t="inlineStr">
        <is>
          <t>UN</t>
        </is>
      </c>
      <c r="E84" s="4">
        <f>IF(SUMIFS('By Instance'!$G:$G,'By Instance'!$E:$E,A84,'By Instance'!$C:$C,C84)=0,"",SUMIFS('By Instance'!$G:$G,'By Instance'!$E:$E,A84,'By Instance'!$C:$C,C84))</f>
        <v/>
      </c>
      <c r="F84" s="6">
        <f>IF(OR(E84="",E84=0,G84=""),"",G84/E84)</f>
        <v/>
      </c>
      <c r="G84" s="6">
        <f>IF(SUMIFS('By Instance'!$I:$I,'By Instance'!$E:$E,A84,'By Instance'!$C:$C,C84)=0,"",SUMIFS('By Instance'!$I:$I,'By Instance'!$E:$E,A84,'By Instance'!$C:$C,C84))</f>
        <v/>
      </c>
    </row>
    <row r="85">
      <c r="A85" s="2" t="inlineStr">
        <is>
          <t>ARBA0215</t>
        </is>
      </c>
      <c r="B85" s="3" t="inlineStr">
        <is>
          <t>LAVAMANOS BLANCO CABURGUA</t>
        </is>
      </c>
      <c r="C85" s="3" t="inlineStr">
        <is>
          <t>General</t>
        </is>
      </c>
      <c r="D85" s="3" t="inlineStr">
        <is>
          <t>UN</t>
        </is>
      </c>
      <c r="E85" s="4">
        <f>IF(SUMIFS('By Instance'!$G:$G,'By Instance'!$E:$E,A85,'By Instance'!$C:$C,C85)=0,"",SUMIFS('By Instance'!$G:$G,'By Instance'!$E:$E,A85,'By Instance'!$C:$C,C85))</f>
        <v/>
      </c>
      <c r="F85" s="6">
        <f>IF(OR(E85="",E85=0,G85=""),"",G85/E85)</f>
        <v/>
      </c>
      <c r="G85" s="6">
        <f>IF(SUMIFS('By Instance'!$I:$I,'By Instance'!$E:$E,A85,'By Instance'!$C:$C,C85)=0,"",SUMIFS('By Instance'!$I:$I,'By Instance'!$E:$E,A85,'By Instance'!$C:$C,C85))</f>
        <v/>
      </c>
    </row>
    <row r="86">
      <c r="A86" s="2" t="inlineStr">
        <is>
          <t>ARBA0216</t>
        </is>
      </c>
      <c r="B86" s="3" t="inlineStr">
        <is>
          <t>PEDESTAL UNIVERSAL CABURGUA BLANCO</t>
        </is>
      </c>
      <c r="C86" s="3" t="inlineStr">
        <is>
          <t>General</t>
        </is>
      </c>
      <c r="D86" s="3" t="inlineStr">
        <is>
          <t>UN</t>
        </is>
      </c>
      <c r="E86" s="4">
        <f>IF(SUMIFS('By Instance'!$G:$G,'By Instance'!$E:$E,A86,'By Instance'!$C:$C,C86)=0,"",SUMIFS('By Instance'!$G:$G,'By Instance'!$E:$E,A86,'By Instance'!$C:$C,C86))</f>
        <v/>
      </c>
      <c r="F86" s="6">
        <f>IF(OR(E86="",E86=0,G86=""),"",G86/E86)</f>
        <v/>
      </c>
      <c r="G86" s="6">
        <f>IF(SUMIFS('By Instance'!$I:$I,'By Instance'!$E:$E,A86,'By Instance'!$C:$C,C86)=0,"",SUMIFS('By Instance'!$I:$I,'By Instance'!$E:$E,A86,'By Instance'!$C:$C,C86))</f>
        <v/>
      </c>
    </row>
    <row r="87">
      <c r="A87" s="2" t="inlineStr">
        <is>
          <t>ARBA0218</t>
        </is>
      </c>
      <c r="B87" s="3" t="inlineStr">
        <is>
          <t>MONOMANDO LAVAMANOS PRONTO</t>
        </is>
      </c>
      <c r="C87" s="3" t="inlineStr">
        <is>
          <t>General</t>
        </is>
      </c>
      <c r="D87" s="3" t="inlineStr">
        <is>
          <t>UN</t>
        </is>
      </c>
      <c r="E87" s="4">
        <f>IF(SUMIFS('By Instance'!$G:$G,'By Instance'!$E:$E,A87,'By Instance'!$C:$C,C87)=0,"",SUMIFS('By Instance'!$G:$G,'By Instance'!$E:$E,A87,'By Instance'!$C:$C,C87))</f>
        <v/>
      </c>
      <c r="F87" s="6">
        <f>IF(OR(E87="",E87=0,G87=""),"",G87/E87)</f>
        <v/>
      </c>
      <c r="G87" s="6">
        <f>IF(SUMIFS('By Instance'!$I:$I,'By Instance'!$E:$E,A87,'By Instance'!$C:$C,C87)=0,"",SUMIFS('By Instance'!$I:$I,'By Instance'!$E:$E,A87,'By Instance'!$C:$C,C87))</f>
        <v/>
      </c>
    </row>
    <row r="88">
      <c r="A88" s="2" t="inlineStr">
        <is>
          <t>ARBA0220</t>
        </is>
      </c>
      <c r="B88" s="3" t="inlineStr">
        <is>
          <t>MONOMANDO DUCHA TINA PRONTO</t>
        </is>
      </c>
      <c r="C88" s="3" t="inlineStr">
        <is>
          <t>General</t>
        </is>
      </c>
      <c r="D88" s="3" t="inlineStr">
        <is>
          <t>UN</t>
        </is>
      </c>
      <c r="E88" s="4">
        <f>IF(SUMIFS('By Instance'!$G:$G,'By Instance'!$E:$E,A88,'By Instance'!$C:$C,C88)=0,"",SUMIFS('By Instance'!$G:$G,'By Instance'!$E:$E,A88,'By Instance'!$C:$C,C88))</f>
        <v/>
      </c>
      <c r="F88" s="6">
        <f>IF(OR(E88="",E88=0,G88=""),"",G88/E88)</f>
        <v/>
      </c>
      <c r="G88" s="6">
        <f>IF(SUMIFS('By Instance'!$I:$I,'By Instance'!$E:$E,A88,'By Instance'!$C:$C,C88)=0,"",SUMIFS('By Instance'!$I:$I,'By Instance'!$E:$E,A88,'By Instance'!$C:$C,C88))</f>
        <v/>
      </c>
    </row>
    <row r="89">
      <c r="A89" s="2" t="inlineStr">
        <is>
          <t>ARBA0236</t>
        </is>
      </c>
      <c r="B89" s="3" t="inlineStr">
        <is>
          <t>LLAVE LAVADORA ANGULAR 1/2 X 3/4 ACQUAMIX</t>
        </is>
      </c>
      <c r="C89" s="3" t="inlineStr">
        <is>
          <t>General</t>
        </is>
      </c>
      <c r="D89" s="3" t="inlineStr">
        <is>
          <t>UN</t>
        </is>
      </c>
      <c r="E89" s="4">
        <f>IF(SUMIFS('By Instance'!$G:$G,'By Instance'!$E:$E,A89,'By Instance'!$C:$C,C89)=0,"",SUMIFS('By Instance'!$G:$G,'By Instance'!$E:$E,A89,'By Instance'!$C:$C,C89))</f>
        <v/>
      </c>
      <c r="F89" s="6">
        <f>IF(OR(E89="",E89=0,G89=""),"",G89/E89)</f>
        <v/>
      </c>
      <c r="G89" s="6">
        <f>IF(SUMIFS('By Instance'!$I:$I,'By Instance'!$E:$E,A89,'By Instance'!$C:$C,C89)=0,"",SUMIFS('By Instance'!$I:$I,'By Instance'!$E:$E,A89,'By Instance'!$C:$C,C89))</f>
        <v/>
      </c>
    </row>
    <row r="90">
      <c r="A90" s="2" t="inlineStr">
        <is>
          <t>ARBA0242</t>
        </is>
      </c>
      <c r="B90" s="3" t="inlineStr">
        <is>
          <t>ABRAZADERA SANITARIA GRIS OMEGA 75MM</t>
        </is>
      </c>
      <c r="C90" s="3" t="inlineStr">
        <is>
          <t>General</t>
        </is>
      </c>
      <c r="D90" s="3" t="inlineStr">
        <is>
          <t>UN</t>
        </is>
      </c>
      <c r="E90" s="4">
        <f>IF(SUMIFS('By Instance'!$G:$G,'By Instance'!$E:$E,A90,'By Instance'!$C:$C,C90)=0,"",SUMIFS('By Instance'!$G:$G,'By Instance'!$E:$E,A90,'By Instance'!$C:$C,C90))</f>
        <v/>
      </c>
      <c r="F90" s="6">
        <f>IF(OR(E90="",E90=0,G90=""),"",G90/E90)</f>
        <v/>
      </c>
      <c r="G90" s="6">
        <f>IF(SUMIFS('By Instance'!$I:$I,'By Instance'!$E:$E,A90,'By Instance'!$C:$C,C90)=0,"",SUMIFS('By Instance'!$I:$I,'By Instance'!$E:$E,A90,'By Instance'!$C:$C,C90))</f>
        <v/>
      </c>
    </row>
    <row r="91">
      <c r="A91" s="2" t="inlineStr">
        <is>
          <t>ARBA0243</t>
        </is>
      </c>
      <c r="B91" s="3" t="inlineStr">
        <is>
          <t>ABRAZADERA SANITARIA GRIS OMEGA 50 MM</t>
        </is>
      </c>
      <c r="C91" s="3" t="inlineStr">
        <is>
          <t>General</t>
        </is>
      </c>
      <c r="D91" s="3" t="inlineStr">
        <is>
          <t>UN</t>
        </is>
      </c>
      <c r="E91" s="4">
        <f>IF(SUMIFS('By Instance'!$G:$G,'By Instance'!$E:$E,A91,'By Instance'!$C:$C,C91)=0,"",SUMIFS('By Instance'!$G:$G,'By Instance'!$E:$E,A91,'By Instance'!$C:$C,C91))</f>
        <v/>
      </c>
      <c r="F91" s="6">
        <f>IF(OR(E91="",E91=0,G91=""),"",G91/E91)</f>
        <v/>
      </c>
      <c r="G91" s="6">
        <f>IF(SUMIFS('By Instance'!$I:$I,'By Instance'!$E:$E,A91,'By Instance'!$C:$C,C91)=0,"",SUMIFS('By Instance'!$I:$I,'By Instance'!$E:$E,A91,'By Instance'!$C:$C,C91))</f>
        <v/>
      </c>
    </row>
    <row r="92">
      <c r="A92" s="2" t="inlineStr">
        <is>
          <t>ARCO0054</t>
        </is>
      </c>
      <c r="B92" s="3" t="inlineStr">
        <is>
          <t>LAVARROPA MODELO TQO DE 15 LITROS</t>
        </is>
      </c>
      <c r="C92" s="3" t="inlineStr">
        <is>
          <t>General</t>
        </is>
      </c>
      <c r="D92" s="3" t="inlineStr">
        <is>
          <t>UN</t>
        </is>
      </c>
      <c r="E92" s="4">
        <f>IF(SUMIFS('By Instance'!$G:$G,'By Instance'!$E:$E,A92,'By Instance'!$C:$C,C92)=0,"",SUMIFS('By Instance'!$G:$G,'By Instance'!$E:$E,A92,'By Instance'!$C:$C,C92))</f>
        <v/>
      </c>
      <c r="F92" s="6">
        <f>IF(OR(E92="",E92=0,G92=""),"",G92/E92)</f>
        <v/>
      </c>
      <c r="G92" s="6">
        <f>IF(SUMIFS('By Instance'!$I:$I,'By Instance'!$E:$E,A92,'By Instance'!$C:$C,C92)=0,"",SUMIFS('By Instance'!$I:$I,'By Instance'!$E:$E,A92,'By Instance'!$C:$C,C92))</f>
        <v/>
      </c>
    </row>
    <row r="93">
      <c r="A93" s="2" t="inlineStr">
        <is>
          <t>ARCO0056</t>
        </is>
      </c>
      <c r="B93" s="3" t="inlineStr">
        <is>
          <t>ATRIL METALICO LAVARROPA 15L 2-PATAS</t>
        </is>
      </c>
      <c r="C93" s="3" t="inlineStr">
        <is>
          <t>General</t>
        </is>
      </c>
      <c r="D93" s="3" t="inlineStr">
        <is>
          <t>UN</t>
        </is>
      </c>
      <c r="E93" s="4">
        <f>IF(SUMIFS('By Instance'!$G:$G,'By Instance'!$E:$E,A93,'By Instance'!$C:$C,C93)=0,"",SUMIFS('By Instance'!$G:$G,'By Instance'!$E:$E,A93,'By Instance'!$C:$C,C93))</f>
        <v/>
      </c>
      <c r="F93" s="6">
        <f>IF(OR(E93="",E93=0,G93=""),"",G93/E93)</f>
        <v/>
      </c>
      <c r="G93" s="6">
        <f>IF(SUMIFS('By Instance'!$I:$I,'By Instance'!$E:$E,A93,'By Instance'!$C:$C,C93)=0,"",SUMIFS('By Instance'!$I:$I,'By Instance'!$E:$E,A93,'By Instance'!$C:$C,C93))</f>
        <v/>
      </c>
    </row>
    <row r="94">
      <c r="A94" s="2" t="inlineStr">
        <is>
          <t>ARCO0057</t>
        </is>
      </c>
      <c r="B94" s="3" t="inlineStr">
        <is>
          <t>LLAVE DE BOLA JARDIN/LAVADERO 1/2</t>
        </is>
      </c>
      <c r="C94" s="3" t="inlineStr">
        <is>
          <t>General</t>
        </is>
      </c>
      <c r="D94" s="3" t="inlineStr">
        <is>
          <t>UN</t>
        </is>
      </c>
      <c r="E94" s="4">
        <f>IF(SUMIFS('By Instance'!$G:$G,'By Instance'!$E:$E,A94,'By Instance'!$C:$C,C94)=0,"",SUMIFS('By Instance'!$G:$G,'By Instance'!$E:$E,A94,'By Instance'!$C:$C,C94))</f>
        <v/>
      </c>
      <c r="F94" s="6">
        <f>IF(OR(E94="",E94=0,G94=""),"",G94/E94)</f>
        <v/>
      </c>
      <c r="G94" s="6">
        <f>IF(SUMIFS('By Instance'!$I:$I,'By Instance'!$E:$E,A94,'By Instance'!$C:$C,C94)=0,"",SUMIFS('By Instance'!$I:$I,'By Instance'!$E:$E,A94,'By Instance'!$C:$C,C94))</f>
        <v/>
      </c>
    </row>
    <row r="95">
      <c r="A95" s="2" t="inlineStr">
        <is>
          <t>ARES0235</t>
        </is>
      </c>
      <c r="B95" s="3" t="inlineStr">
        <is>
          <t>PINCEL PLANO N-12</t>
        </is>
      </c>
      <c r="C95" s="3" t="inlineStr">
        <is>
          <t>General</t>
        </is>
      </c>
      <c r="D95" s="3" t="inlineStr">
        <is>
          <t>UN</t>
        </is>
      </c>
      <c r="E95" s="4">
        <f>IF(SUMIFS('By Instance'!$G:$G,'By Instance'!$E:$E,A95,'By Instance'!$C:$C,C95)=0,"",SUMIFS('By Instance'!$G:$G,'By Instance'!$E:$E,A95,'By Instance'!$C:$C,C95))</f>
        <v/>
      </c>
      <c r="F95" s="6">
        <f>IF(OR(E95="",E95=0,G95=""),"",G95/E95)</f>
        <v/>
      </c>
      <c r="G95" s="6">
        <f>IF(SUMIFS('By Instance'!$I:$I,'By Instance'!$E:$E,A95,'By Instance'!$C:$C,C95)=0,"",SUMIFS('By Instance'!$I:$I,'By Instance'!$E:$E,A95,'By Instance'!$C:$C,C95))</f>
        <v/>
      </c>
    </row>
    <row r="96">
      <c r="A96" s="2" t="inlineStr">
        <is>
          <t>ELEC0023</t>
        </is>
      </c>
      <c r="B96" s="3" t="inlineStr">
        <is>
          <t>CABLE BLANCO 2,5MM2 450-750V</t>
        </is>
      </c>
      <c r="C96" s="3" t="inlineStr">
        <is>
          <t>General</t>
        </is>
      </c>
      <c r="D96" s="3" t="inlineStr">
        <is>
          <t>ML</t>
        </is>
      </c>
      <c r="E96" s="4">
        <f>IF(SUMIFS('By Instance'!$G:$G,'By Instance'!$E:$E,A96,'By Instance'!$C:$C,C96)=0,"",SUMIFS('By Instance'!$G:$G,'By Instance'!$E:$E,A96,'By Instance'!$C:$C,C96))</f>
        <v/>
      </c>
      <c r="F96" s="6">
        <f>IF(OR(E96="",E96=0,G96=""),"",G96/E96)</f>
        <v/>
      </c>
      <c r="G96" s="6">
        <f>IF(SUMIFS('By Instance'!$I:$I,'By Instance'!$E:$E,A96,'By Instance'!$C:$C,C96)=0,"",SUMIFS('By Instance'!$I:$I,'By Instance'!$E:$E,A96,'By Instance'!$C:$C,C96))</f>
        <v/>
      </c>
    </row>
    <row r="97">
      <c r="A97" s="2" t="inlineStr">
        <is>
          <t>ELEC0029</t>
        </is>
      </c>
      <c r="B97" s="3" t="inlineStr">
        <is>
          <t>CABLE ROJO 2,5MM2 450-750V</t>
        </is>
      </c>
      <c r="C97" s="3" t="inlineStr">
        <is>
          <t>General</t>
        </is>
      </c>
      <c r="D97" s="3" t="inlineStr">
        <is>
          <t>ML</t>
        </is>
      </c>
      <c r="E97" s="4">
        <f>IF(SUMIFS('By Instance'!$G:$G,'By Instance'!$E:$E,A97,'By Instance'!$C:$C,C97)=0,"",SUMIFS('By Instance'!$G:$G,'By Instance'!$E:$E,A97,'By Instance'!$C:$C,C97))</f>
        <v/>
      </c>
      <c r="F97" s="6">
        <f>IF(OR(E97="",E97=0,G97=""),"",G97/E97)</f>
        <v/>
      </c>
      <c r="G97" s="6">
        <f>IF(SUMIFS('By Instance'!$I:$I,'By Instance'!$E:$E,A97,'By Instance'!$C:$C,C97)=0,"",SUMIFS('By Instance'!$I:$I,'By Instance'!$E:$E,A97,'By Instance'!$C:$C,C97))</f>
        <v/>
      </c>
    </row>
    <row r="98">
      <c r="A98" s="2" t="inlineStr">
        <is>
          <t>ELEC0030</t>
        </is>
      </c>
      <c r="B98" s="3" t="inlineStr">
        <is>
          <t>CABLE VERDE 2,5MM2 450-750V</t>
        </is>
      </c>
      <c r="C98" s="3" t="inlineStr">
        <is>
          <t>General</t>
        </is>
      </c>
      <c r="D98" s="3" t="inlineStr">
        <is>
          <t>ML</t>
        </is>
      </c>
      <c r="E98" s="4">
        <f>IF(SUMIFS('By Instance'!$G:$G,'By Instance'!$E:$E,A98,'By Instance'!$C:$C,C98)=0,"",SUMIFS('By Instance'!$G:$G,'By Instance'!$E:$E,A98,'By Instance'!$C:$C,C98))</f>
        <v/>
      </c>
      <c r="F98" s="6">
        <f>IF(OR(E98="",E98=0,G98=""),"",G98/E98)</f>
        <v/>
      </c>
      <c r="G98" s="6">
        <f>IF(SUMIFS('By Instance'!$I:$I,'By Instance'!$E:$E,A98,'By Instance'!$C:$C,C98)=0,"",SUMIFS('By Instance'!$I:$I,'By Instance'!$E:$E,A98,'By Instance'!$C:$C,C98))</f>
        <v/>
      </c>
    </row>
    <row r="99">
      <c r="A99" s="2" t="inlineStr">
        <is>
          <t>ELEC0047</t>
        </is>
      </c>
      <c r="B99" s="3" t="inlineStr">
        <is>
          <t>CONDUIT PVC NARANJO 025X3MTS</t>
        </is>
      </c>
      <c r="C99" s="3" t="inlineStr">
        <is>
          <t>General</t>
        </is>
      </c>
      <c r="D99" s="3" t="inlineStr">
        <is>
          <t>UN</t>
        </is>
      </c>
      <c r="E99" s="4">
        <f>IF(SUMIFS('By Instance'!$G:$G,'By Instance'!$E:$E,A99,'By Instance'!$C:$C,C99)=0,"",SUMIFS('By Instance'!$G:$G,'By Instance'!$E:$E,A99,'By Instance'!$C:$C,C99))</f>
        <v/>
      </c>
      <c r="F99" s="6">
        <f>IF(OR(E99="",E99=0,G99=""),"",G99/E99)</f>
        <v/>
      </c>
      <c r="G99" s="6">
        <f>IF(SUMIFS('By Instance'!$I:$I,'By Instance'!$E:$E,A99,'By Instance'!$C:$C,C99)=0,"",SUMIFS('By Instance'!$I:$I,'By Instance'!$E:$E,A99,'By Instance'!$C:$C,C99))</f>
        <v/>
      </c>
    </row>
    <row r="100">
      <c r="A100" s="2" t="inlineStr">
        <is>
          <t>ELEC0111</t>
        </is>
      </c>
      <c r="B100" s="3" t="inlineStr">
        <is>
          <t>CABLE BLANCO 1,5MM2 450-750V</t>
        </is>
      </c>
      <c r="C100" s="3" t="inlineStr">
        <is>
          <t>General</t>
        </is>
      </c>
      <c r="D100" s="3" t="inlineStr">
        <is>
          <t>ML</t>
        </is>
      </c>
      <c r="E100" s="4">
        <f>IF(SUMIFS('By Instance'!$G:$G,'By Instance'!$E:$E,A100,'By Instance'!$C:$C,C100)=0,"",SUMIFS('By Instance'!$G:$G,'By Instance'!$E:$E,A100,'By Instance'!$C:$C,C100))</f>
        <v/>
      </c>
      <c r="F100" s="6">
        <f>IF(OR(E100="",E100=0,G100=""),"",G100/E100)</f>
        <v/>
      </c>
      <c r="G100" s="6">
        <f>IF(SUMIFS('By Instance'!$I:$I,'By Instance'!$E:$E,A100,'By Instance'!$C:$C,C100)=0,"",SUMIFS('By Instance'!$I:$I,'By Instance'!$E:$E,A100,'By Instance'!$C:$C,C100))</f>
        <v/>
      </c>
    </row>
    <row r="101">
      <c r="A101" s="2" t="inlineStr">
        <is>
          <t>ELEC0113</t>
        </is>
      </c>
      <c r="B101" s="3" t="inlineStr">
        <is>
          <t>CABLE ROJO 1,5MM2 450-750V</t>
        </is>
      </c>
      <c r="C101" s="3" t="inlineStr">
        <is>
          <t>General</t>
        </is>
      </c>
      <c r="D101" s="3" t="inlineStr">
        <is>
          <t>ML</t>
        </is>
      </c>
      <c r="E101" s="4">
        <f>IF(SUMIFS('By Instance'!$G:$G,'By Instance'!$E:$E,A101,'By Instance'!$C:$C,C101)=0,"",SUMIFS('By Instance'!$G:$G,'By Instance'!$E:$E,A101,'By Instance'!$C:$C,C101))</f>
        <v/>
      </c>
      <c r="F101" s="6">
        <f>IF(OR(E101="",E101=0,G101=""),"",G101/E101)</f>
        <v/>
      </c>
      <c r="G101" s="6">
        <f>IF(SUMIFS('By Instance'!$I:$I,'By Instance'!$E:$E,A101,'By Instance'!$C:$C,C101)=0,"",SUMIFS('By Instance'!$I:$I,'By Instance'!$E:$E,A101,'By Instance'!$C:$C,C101))</f>
        <v/>
      </c>
    </row>
    <row r="102">
      <c r="A102" s="2" t="inlineStr">
        <is>
          <t>ELEC0115</t>
        </is>
      </c>
      <c r="B102" s="3" t="inlineStr">
        <is>
          <t>CABLE VERDE 1,5MM2 450-750V</t>
        </is>
      </c>
      <c r="C102" s="3" t="inlineStr">
        <is>
          <t>General</t>
        </is>
      </c>
      <c r="D102" s="3" t="inlineStr">
        <is>
          <t>ML</t>
        </is>
      </c>
      <c r="E102" s="4">
        <f>IF(SUMIFS('By Instance'!$G:$G,'By Instance'!$E:$E,A102,'By Instance'!$C:$C,C102)=0,"",SUMIFS('By Instance'!$G:$G,'By Instance'!$E:$E,A102,'By Instance'!$C:$C,C102))</f>
        <v/>
      </c>
      <c r="F102" s="6">
        <f>IF(OR(E102="",E102=0,G102=""),"",G102/E102)</f>
        <v/>
      </c>
      <c r="G102" s="6">
        <f>IF(SUMIFS('By Instance'!$I:$I,'By Instance'!$E:$E,A102,'By Instance'!$C:$C,C102)=0,"",SUMIFS('By Instance'!$I:$I,'By Instance'!$E:$E,A102,'By Instance'!$C:$C,C102))</f>
        <v/>
      </c>
    </row>
    <row r="103">
      <c r="A103" s="2" t="inlineStr">
        <is>
          <t>ELEC0123</t>
        </is>
      </c>
      <c r="B103" s="3" t="inlineStr">
        <is>
          <t>PLACA DOBLE S17 BLANCO</t>
        </is>
      </c>
      <c r="C103" s="3" t="inlineStr">
        <is>
          <t>General</t>
        </is>
      </c>
      <c r="D103" s="3" t="inlineStr">
        <is>
          <t>UN</t>
        </is>
      </c>
      <c r="E103" s="4">
        <f>IF(SUMIFS('By Instance'!$G:$G,'By Instance'!$E:$E,A103,'By Instance'!$C:$C,C103)=0,"",SUMIFS('By Instance'!$G:$G,'By Instance'!$E:$E,A103,'By Instance'!$C:$C,C103))</f>
        <v/>
      </c>
      <c r="F103" s="6">
        <f>IF(OR(E103="",E103=0,G103=""),"",G103/E103)</f>
        <v/>
      </c>
      <c r="G103" s="6">
        <f>IF(SUMIFS('By Instance'!$I:$I,'By Instance'!$E:$E,A103,'By Instance'!$C:$C,C103)=0,"",SUMIFS('By Instance'!$I:$I,'By Instance'!$E:$E,A103,'By Instance'!$C:$C,C103))</f>
        <v/>
      </c>
    </row>
    <row r="104">
      <c r="A104" s="2" t="inlineStr">
        <is>
          <t>ELEC0124</t>
        </is>
      </c>
      <c r="B104" s="3" t="inlineStr">
        <is>
          <t>PLACA TRIPLE S17 BLANCO</t>
        </is>
      </c>
      <c r="C104" s="3" t="inlineStr">
        <is>
          <t>General</t>
        </is>
      </c>
      <c r="D104" s="3" t="inlineStr">
        <is>
          <t>UN</t>
        </is>
      </c>
      <c r="E104" s="4">
        <f>IF(SUMIFS('By Instance'!$G:$G,'By Instance'!$E:$E,A104,'By Instance'!$C:$C,C104)=0,"",SUMIFS('By Instance'!$G:$G,'By Instance'!$E:$E,A104,'By Instance'!$C:$C,C104))</f>
        <v/>
      </c>
      <c r="F104" s="6">
        <f>IF(OR(E104="",E104=0,G104=""),"",G104/E104)</f>
        <v/>
      </c>
      <c r="G104" s="6">
        <f>IF(SUMIFS('By Instance'!$I:$I,'By Instance'!$E:$E,A104,'By Instance'!$C:$C,C104)=0,"",SUMIFS('By Instance'!$I:$I,'By Instance'!$E:$E,A104,'By Instance'!$C:$C,C104))</f>
        <v/>
      </c>
    </row>
    <row r="105">
      <c r="A105" s="2" t="inlineStr">
        <is>
          <t>ELEC0130</t>
        </is>
      </c>
      <c r="B105" s="3" t="inlineStr">
        <is>
          <t>TOMACORRIENTE BIPASO 10/16A 250V 2P+T S17 BLANCO</t>
        </is>
      </c>
      <c r="C105" s="3" t="inlineStr">
        <is>
          <t>General</t>
        </is>
      </c>
      <c r="D105" s="3" t="inlineStr">
        <is>
          <t>UN</t>
        </is>
      </c>
      <c r="E105" s="4">
        <f>IF(SUMIFS('By Instance'!$G:$G,'By Instance'!$E:$E,A105,'By Instance'!$C:$C,C105)=0,"",SUMIFS('By Instance'!$G:$G,'By Instance'!$E:$E,A105,'By Instance'!$C:$C,C105))</f>
        <v/>
      </c>
      <c r="F105" s="6">
        <f>IF(OR(E105="",E105=0,G105=""),"",G105/E105)</f>
        <v/>
      </c>
      <c r="G105" s="6">
        <f>IF(SUMIFS('By Instance'!$I:$I,'By Instance'!$E:$E,A105,'By Instance'!$C:$C,C105)=0,"",SUMIFS('By Instance'!$I:$I,'By Instance'!$E:$E,A105,'By Instance'!$C:$C,C105))</f>
        <v/>
      </c>
    </row>
    <row r="106">
      <c r="A106" s="2" t="inlineStr">
        <is>
          <t>ELEC0164</t>
        </is>
      </c>
      <c r="B106" s="3" t="inlineStr">
        <is>
          <t>CAJA EMPOTRABLE PLASTICA 3P RECTANGULAR AZUL</t>
        </is>
      </c>
      <c r="C106" s="3" t="inlineStr">
        <is>
          <t>General</t>
        </is>
      </c>
      <c r="D106" s="3" t="inlineStr">
        <is>
          <t>UN</t>
        </is>
      </c>
      <c r="E106" s="4">
        <f>IF(SUMIFS('By Instance'!$G:$G,'By Instance'!$E:$E,A106,'By Instance'!$C:$C,C106)=0,"",SUMIFS('By Instance'!$G:$G,'By Instance'!$E:$E,A106,'By Instance'!$C:$C,C106))</f>
        <v/>
      </c>
      <c r="F106" s="6">
        <f>IF(OR(E106="",E106=0,G106=""),"",G106/E106)</f>
        <v/>
      </c>
      <c r="G106" s="6">
        <f>IF(SUMIFS('By Instance'!$I:$I,'By Instance'!$E:$E,A106,'By Instance'!$C:$C,C106)=0,"",SUMIFS('By Instance'!$I:$I,'By Instance'!$E:$E,A106,'By Instance'!$C:$C,C106))</f>
        <v/>
      </c>
    </row>
    <row r="107">
      <c r="A107" s="2" t="inlineStr">
        <is>
          <t>ELEC0172</t>
        </is>
      </c>
      <c r="B107" s="3" t="inlineStr">
        <is>
          <t>TABLERO EMBUTIDO 24 PUERTOS 2 NIVELES TAPA BLANCA</t>
        </is>
      </c>
      <c r="C107" s="3" t="inlineStr">
        <is>
          <t>General</t>
        </is>
      </c>
      <c r="D107" s="3" t="inlineStr">
        <is>
          <t>UN</t>
        </is>
      </c>
      <c r="E107" s="4">
        <f>IF(SUMIFS('By Instance'!$G:$G,'By Instance'!$E:$E,A107,'By Instance'!$C:$C,C107)=0,"",SUMIFS('By Instance'!$G:$G,'By Instance'!$E:$E,A107,'By Instance'!$C:$C,C107))</f>
        <v/>
      </c>
      <c r="F107" s="6">
        <f>IF(OR(E107="",E107=0,G107=""),"",G107/E107)</f>
        <v/>
      </c>
      <c r="G107" s="6">
        <f>IF(SUMIFS('By Instance'!$I:$I,'By Instance'!$E:$E,A107,'By Instance'!$C:$C,C107)=0,"",SUMIFS('By Instance'!$I:$I,'By Instance'!$E:$E,A107,'By Instance'!$C:$C,C107))</f>
        <v/>
      </c>
    </row>
    <row r="108">
      <c r="A108" s="2" t="inlineStr">
        <is>
          <t>ELEC0181</t>
        </is>
      </c>
      <c r="B108" s="3" t="inlineStr">
        <is>
          <t>PORTALAMPARA BASE RECTA BLANCO</t>
        </is>
      </c>
      <c r="C108" s="3" t="inlineStr">
        <is>
          <t>General</t>
        </is>
      </c>
      <c r="D108" s="3" t="inlineStr">
        <is>
          <t>UN</t>
        </is>
      </c>
      <c r="E108" s="4">
        <f>IF(SUMIFS('By Instance'!$G:$G,'By Instance'!$E:$E,A108,'By Instance'!$C:$C,C108)=0,"",SUMIFS('By Instance'!$G:$G,'By Instance'!$E:$E,A108,'By Instance'!$C:$C,C108))</f>
        <v/>
      </c>
      <c r="F108" s="6">
        <f>IF(OR(E108="",E108=0,G108=""),"",G108/E108)</f>
        <v/>
      </c>
      <c r="G108" s="6">
        <f>IF(SUMIFS('By Instance'!$I:$I,'By Instance'!$E:$E,A108,'By Instance'!$C:$C,C108)=0,"",SUMIFS('By Instance'!$I:$I,'By Instance'!$E:$E,A108,'By Instance'!$C:$C,C108))</f>
        <v/>
      </c>
    </row>
    <row r="109">
      <c r="A109" s="2" t="inlineStr">
        <is>
          <t>ELEC0186</t>
        </is>
      </c>
      <c r="B109" s="3" t="inlineStr">
        <is>
          <t>BORNE TIERRA VERDE 8 SALIDAS 16MM2 PARA RIEL DIN O BARRA</t>
        </is>
      </c>
      <c r="C109" s="3" t="inlineStr">
        <is>
          <t>General</t>
        </is>
      </c>
      <c r="D109" s="3" t="inlineStr">
        <is>
          <t>UN</t>
        </is>
      </c>
      <c r="E109" s="4">
        <f>IF(SUMIFS('By Instance'!$G:$G,'By Instance'!$E:$E,A109,'By Instance'!$C:$C,C109)=0,"",SUMIFS('By Instance'!$G:$G,'By Instance'!$E:$E,A109,'By Instance'!$C:$C,C109))</f>
        <v/>
      </c>
      <c r="F109" s="6">
        <f>IF(OR(E109="",E109=0,G109=""),"",G109/E109)</f>
        <v/>
      </c>
      <c r="G109" s="6">
        <f>IF(SUMIFS('By Instance'!$I:$I,'By Instance'!$E:$E,A109,'By Instance'!$C:$C,C109)=0,"",SUMIFS('By Instance'!$I:$I,'By Instance'!$E:$E,A109,'By Instance'!$C:$C,C109))</f>
        <v/>
      </c>
    </row>
    <row r="110">
      <c r="A110" s="2" t="inlineStr">
        <is>
          <t>ELEC0198</t>
        </is>
      </c>
      <c r="B110" s="3" t="inlineStr">
        <is>
          <t>SALIDA CAJA CONDUIT 25MM - 3/4</t>
        </is>
      </c>
      <c r="C110" s="3" t="inlineStr">
        <is>
          <t>General</t>
        </is>
      </c>
      <c r="D110" s="3" t="inlineStr">
        <is>
          <t>UN</t>
        </is>
      </c>
      <c r="E110" s="4">
        <f>IF(SUMIFS('By Instance'!$G:$G,'By Instance'!$E:$E,A110,'By Instance'!$C:$C,C110)=0,"",SUMIFS('By Instance'!$G:$G,'By Instance'!$E:$E,A110,'By Instance'!$C:$C,C110))</f>
        <v/>
      </c>
      <c r="F110" s="6">
        <f>IF(OR(E110="",E110=0,G110=""),"",G110/E110)</f>
        <v/>
      </c>
      <c r="G110" s="6">
        <f>IF(SUMIFS('By Instance'!$I:$I,'By Instance'!$E:$E,A110,'By Instance'!$C:$C,C110)=0,"",SUMIFS('By Instance'!$I:$I,'By Instance'!$E:$E,A110,'By Instance'!$C:$C,C110))</f>
        <v/>
      </c>
    </row>
    <row r="111">
      <c r="A111" s="2" t="inlineStr">
        <is>
          <t>ELEC0200</t>
        </is>
      </c>
      <c r="B111" s="3" t="inlineStr">
        <is>
          <t>CURVA PVC 3/4  (25mm) 90 G. CEM.</t>
        </is>
      </c>
      <c r="C111" s="3" t="inlineStr">
        <is>
          <t>General</t>
        </is>
      </c>
      <c r="D111" s="3" t="inlineStr">
        <is>
          <t>UN</t>
        </is>
      </c>
      <c r="E111" s="4">
        <f>IF(SUMIFS('By Instance'!$G:$G,'By Instance'!$E:$E,A111,'By Instance'!$C:$C,C111)=0,"",SUMIFS('By Instance'!$G:$G,'By Instance'!$E:$E,A111,'By Instance'!$C:$C,C111))</f>
        <v/>
      </c>
      <c r="F111" s="6">
        <f>IF(OR(E111="",E111=0,G111=""),"",G111/E111)</f>
        <v/>
      </c>
      <c r="G111" s="6">
        <f>IF(SUMIFS('By Instance'!$I:$I,'By Instance'!$E:$E,A111,'By Instance'!$C:$C,C111)=0,"",SUMIFS('By Instance'!$I:$I,'By Instance'!$E:$E,A111,'By Instance'!$C:$C,C111))</f>
        <v/>
      </c>
    </row>
    <row r="112">
      <c r="A112" s="2" t="inlineStr">
        <is>
          <t>ELEC0207</t>
        </is>
      </c>
      <c r="B112" s="3" t="inlineStr">
        <is>
          <t>SALIDA CAJA L/HALOG 20MM GRIS PARES</t>
        </is>
      </c>
      <c r="C112" s="3" t="inlineStr">
        <is>
          <t>General</t>
        </is>
      </c>
      <c r="D112" s="3" t="inlineStr">
        <is>
          <t>UN</t>
        </is>
      </c>
      <c r="E112" s="4">
        <f>IF(SUMIFS('By Instance'!$G:$G,'By Instance'!$E:$E,A112,'By Instance'!$C:$C,C112)=0,"",SUMIFS('By Instance'!$G:$G,'By Instance'!$E:$E,A112,'By Instance'!$C:$C,C112))</f>
        <v/>
      </c>
      <c r="F112" s="6">
        <f>IF(OR(E112="",E112=0,G112=""),"",G112/E112)</f>
        <v/>
      </c>
      <c r="G112" s="6">
        <f>IF(SUMIFS('By Instance'!$I:$I,'By Instance'!$E:$E,A112,'By Instance'!$C:$C,C112)=0,"",SUMIFS('By Instance'!$I:$I,'By Instance'!$E:$E,A112,'By Instance'!$C:$C,C112))</f>
        <v/>
      </c>
    </row>
    <row r="113">
      <c r="A113" s="2" t="inlineStr">
        <is>
          <t>ELEC0229</t>
        </is>
      </c>
      <c r="B113" s="3" t="inlineStr">
        <is>
          <t>TERMINAL FERRULE 2,5MM 14AWG GRIS</t>
        </is>
      </c>
      <c r="C113" s="3" t="inlineStr">
        <is>
          <t>General</t>
        </is>
      </c>
      <c r="D113" s="3" t="inlineStr">
        <is>
          <t>UN</t>
        </is>
      </c>
      <c r="E113" s="4">
        <f>IF(SUMIFS('By Instance'!$G:$G,'By Instance'!$E:$E,A113,'By Instance'!$C:$C,C113)=0,"",SUMIFS('By Instance'!$G:$G,'By Instance'!$E:$E,A113,'By Instance'!$C:$C,C113))</f>
        <v/>
      </c>
      <c r="F113" s="6">
        <f>IF(OR(E113="",E113=0,G113=""),"",G113/E113)</f>
        <v/>
      </c>
      <c r="G113" s="6">
        <f>IF(SUMIFS('By Instance'!$I:$I,'By Instance'!$E:$E,A113,'By Instance'!$C:$C,C113)=0,"",SUMIFS('By Instance'!$I:$I,'By Instance'!$E:$E,A113,'By Instance'!$C:$C,C113))</f>
        <v/>
      </c>
    </row>
    <row r="114">
      <c r="A114" s="2" t="inlineStr">
        <is>
          <t>ELEC0247</t>
        </is>
      </c>
      <c r="B114" s="3" t="inlineStr">
        <is>
          <t>CONDUIT PVC NARANJO 032X6MTS</t>
        </is>
      </c>
      <c r="C114" s="3" t="inlineStr">
        <is>
          <t>General</t>
        </is>
      </c>
      <c r="D114" s="3" t="inlineStr">
        <is>
          <t>UN</t>
        </is>
      </c>
      <c r="E114" s="4">
        <f>IF(SUMIFS('By Instance'!$G:$G,'By Instance'!$E:$E,A114,'By Instance'!$C:$C,C114)=0,"",SUMIFS('By Instance'!$G:$G,'By Instance'!$E:$E,A114,'By Instance'!$C:$C,C114))</f>
        <v/>
      </c>
      <c r="F114" s="6">
        <f>IF(OR(E114="",E114=0,G114=""),"",G114/E114)</f>
        <v/>
      </c>
      <c r="G114" s="6">
        <f>IF(SUMIFS('By Instance'!$I:$I,'By Instance'!$E:$E,A114,'By Instance'!$C:$C,C114)=0,"",SUMIFS('By Instance'!$I:$I,'By Instance'!$E:$E,A114,'By Instance'!$C:$C,C114))</f>
        <v/>
      </c>
    </row>
    <row r="115">
      <c r="A115" s="2" t="inlineStr">
        <is>
          <t>ELEC0287</t>
        </is>
      </c>
      <c r="B115" s="3" t="inlineStr">
        <is>
          <t>CONMUTADOR 9/24 16A 250V SINTHESI 17 BLANCO</t>
        </is>
      </c>
      <c r="C115" s="3" t="inlineStr">
        <is>
          <t>General</t>
        </is>
      </c>
      <c r="D115" s="3" t="inlineStr">
        <is>
          <t>UN</t>
        </is>
      </c>
      <c r="E115" s="4">
        <f>IF(SUMIFS('By Instance'!$G:$G,'By Instance'!$E:$E,A115,'By Instance'!$C:$C,C115)=0,"",SUMIFS('By Instance'!$G:$G,'By Instance'!$E:$E,A115,'By Instance'!$C:$C,C115))</f>
        <v/>
      </c>
      <c r="F115" s="6">
        <f>IF(OR(E115="",E115=0,G115=""),"",G115/E115)</f>
        <v/>
      </c>
      <c r="G115" s="6">
        <f>IF(SUMIFS('By Instance'!$I:$I,'By Instance'!$E:$E,A115,'By Instance'!$C:$C,C115)=0,"",SUMIFS('By Instance'!$I:$I,'By Instance'!$E:$E,A115,'By Instance'!$C:$C,C115))</f>
        <v/>
      </c>
    </row>
    <row r="116">
      <c r="A116" s="2" t="inlineStr">
        <is>
          <t>ELEC0303</t>
        </is>
      </c>
      <c r="B116" s="3" t="inlineStr">
        <is>
          <t>CAJA ESTANCA UNIVERSAL</t>
        </is>
      </c>
      <c r="C116" s="3" t="inlineStr">
        <is>
          <t>General</t>
        </is>
      </c>
      <c r="D116" s="3" t="inlineStr">
        <is>
          <t>UN</t>
        </is>
      </c>
      <c r="E116" s="4">
        <f>IF(SUMIFS('By Instance'!$G:$G,'By Instance'!$E:$E,A116,'By Instance'!$C:$C,C116)=0,"",SUMIFS('By Instance'!$G:$G,'By Instance'!$E:$E,A116,'By Instance'!$C:$C,C116))</f>
        <v/>
      </c>
      <c r="F116" s="6">
        <f>IF(OR(E116="",E116=0,G116=""),"",G116/E116)</f>
        <v/>
      </c>
      <c r="G116" s="6">
        <f>IF(SUMIFS('By Instance'!$I:$I,'By Instance'!$E:$E,A116,'By Instance'!$C:$C,C116)=0,"",SUMIFS('By Instance'!$I:$I,'By Instance'!$E:$E,A116,'By Instance'!$C:$C,C116))</f>
        <v/>
      </c>
    </row>
    <row r="117">
      <c r="A117" s="2" t="inlineStr">
        <is>
          <t>ELEC0316</t>
        </is>
      </c>
      <c r="B117" s="3" t="inlineStr">
        <is>
          <t>TERMINAL FERRULE 6MM 10AWG VERDE</t>
        </is>
      </c>
      <c r="C117" s="3" t="inlineStr">
        <is>
          <t>General</t>
        </is>
      </c>
      <c r="D117" s="3" t="inlineStr">
        <is>
          <t>UN</t>
        </is>
      </c>
      <c r="E117" s="4">
        <f>IF(SUMIFS('By Instance'!$G:$G,'By Instance'!$E:$E,A117,'By Instance'!$C:$C,C117)=0,"",SUMIFS('By Instance'!$G:$G,'By Instance'!$E:$E,A117,'By Instance'!$C:$C,C117))</f>
        <v/>
      </c>
      <c r="F117" s="6">
        <f>IF(OR(E117="",E117=0,G117=""),"",G117/E117)</f>
        <v/>
      </c>
      <c r="G117" s="6">
        <f>IF(SUMIFS('By Instance'!$I:$I,'By Instance'!$E:$E,A117,'By Instance'!$C:$C,C117)=0,"",SUMIFS('By Instance'!$I:$I,'By Instance'!$E:$E,A117,'By Instance'!$C:$C,C117))</f>
        <v/>
      </c>
    </row>
    <row r="118">
      <c r="A118" s="2" t="inlineStr">
        <is>
          <t>ELEC0318</t>
        </is>
      </c>
      <c r="B118" s="3" t="inlineStr">
        <is>
          <t>TERMINAL FERRULE 1,5MM 14AWG GRIS</t>
        </is>
      </c>
      <c r="C118" s="3" t="inlineStr">
        <is>
          <t>General</t>
        </is>
      </c>
      <c r="D118" s="3" t="inlineStr">
        <is>
          <t>UN</t>
        </is>
      </c>
      <c r="E118" s="4">
        <f>IF(SUMIFS('By Instance'!$G:$G,'By Instance'!$E:$E,A118,'By Instance'!$C:$C,C118)=0,"",SUMIFS('By Instance'!$G:$G,'By Instance'!$E:$E,A118,'By Instance'!$C:$C,C118))</f>
        <v/>
      </c>
      <c r="F118" s="6">
        <f>IF(OR(E118="",E118=0,G118=""),"",G118/E118)</f>
        <v/>
      </c>
      <c r="G118" s="6">
        <f>IF(SUMIFS('By Instance'!$I:$I,'By Instance'!$E:$E,A118,'By Instance'!$C:$C,C118)=0,"",SUMIFS('By Instance'!$I:$I,'By Instance'!$E:$E,A118,'By Instance'!$C:$C,C118))</f>
        <v/>
      </c>
    </row>
    <row r="119">
      <c r="A119" s="2" t="inlineStr">
        <is>
          <t>ELEC0320</t>
        </is>
      </c>
      <c r="B119" s="3" t="inlineStr">
        <is>
          <t>TAPA CIEGA PLASTICA RIGIDA C/TORNILLOS</t>
        </is>
      </c>
      <c r="C119" s="3" t="inlineStr">
        <is>
          <t>General</t>
        </is>
      </c>
      <c r="D119" s="3" t="inlineStr">
        <is>
          <t>UN</t>
        </is>
      </c>
      <c r="E119" s="4">
        <f>IF(SUMIFS('By Instance'!$G:$G,'By Instance'!$E:$E,A119,'By Instance'!$C:$C,C119)=0,"",SUMIFS('By Instance'!$G:$G,'By Instance'!$E:$E,A119,'By Instance'!$C:$C,C119))</f>
        <v/>
      </c>
      <c r="F119" s="6">
        <f>IF(OR(E119="",E119=0,G119=""),"",G119/E119)</f>
        <v/>
      </c>
      <c r="G119" s="6">
        <f>IF(SUMIFS('By Instance'!$I:$I,'By Instance'!$E:$E,A119,'By Instance'!$C:$C,C119)=0,"",SUMIFS('By Instance'!$I:$I,'By Instance'!$E:$E,A119,'By Instance'!$C:$C,C119))</f>
        <v/>
      </c>
    </row>
    <row r="120">
      <c r="A120" s="2" t="inlineStr">
        <is>
          <t>ELEC0358</t>
        </is>
      </c>
      <c r="B120" s="3" t="inlineStr">
        <is>
          <t>TUBO FLEXIBLE L/HALOGENO 20MM  (100MTS)</t>
        </is>
      </c>
      <c r="C120" s="3" t="inlineStr">
        <is>
          <t>General</t>
        </is>
      </c>
      <c r="D120" s="3" t="inlineStr">
        <is>
          <t>ML</t>
        </is>
      </c>
      <c r="E120" s="4">
        <f>IF(SUMIFS('By Instance'!$G:$G,'By Instance'!$E:$E,A120,'By Instance'!$C:$C,C120)=0,"",SUMIFS('By Instance'!$G:$G,'By Instance'!$E:$E,A120,'By Instance'!$C:$C,C120))</f>
        <v/>
      </c>
      <c r="F120" s="6">
        <f>IF(OR(E120="",E120=0,G120=""),"",G120/E120)</f>
        <v/>
      </c>
      <c r="G120" s="6">
        <f>IF(SUMIFS('By Instance'!$I:$I,'By Instance'!$E:$E,A120,'By Instance'!$C:$C,C120)=0,"",SUMIFS('By Instance'!$I:$I,'By Instance'!$E:$E,A120,'By Instance'!$C:$C,C120))</f>
        <v/>
      </c>
    </row>
    <row r="121">
      <c r="A121" s="2" t="inlineStr">
        <is>
          <t>ELEC0378</t>
        </is>
      </c>
      <c r="B121" s="3" t="inlineStr">
        <is>
          <t>CURVA PVC 32MM 90°</t>
        </is>
      </c>
      <c r="C121" s="3" t="inlineStr">
        <is>
          <t>General</t>
        </is>
      </c>
      <c r="D121" s="3" t="inlineStr">
        <is>
          <t>UN</t>
        </is>
      </c>
      <c r="E121" s="4">
        <f>IF(SUMIFS('By Instance'!$G:$G,'By Instance'!$E:$E,A121,'By Instance'!$C:$C,C121)=0,"",SUMIFS('By Instance'!$G:$G,'By Instance'!$E:$E,A121,'By Instance'!$C:$C,C121))</f>
        <v/>
      </c>
      <c r="F121" s="6">
        <f>IF(OR(E121="",E121=0,G121=""),"",G121/E121)</f>
        <v/>
      </c>
      <c r="G121" s="6">
        <f>IF(SUMIFS('By Instance'!$I:$I,'By Instance'!$E:$E,A121,'By Instance'!$C:$C,C121)=0,"",SUMIFS('By Instance'!$I:$I,'By Instance'!$E:$E,A121,'By Instance'!$C:$C,C121))</f>
        <v/>
      </c>
    </row>
    <row r="122">
      <c r="A122" s="2" t="inlineStr">
        <is>
          <t>ELEC0381</t>
        </is>
      </c>
      <c r="B122" s="3" t="inlineStr">
        <is>
          <t>INT AUTOMATICO 1X 10A C 6KA RX3</t>
        </is>
      </c>
      <c r="C122" s="3" t="inlineStr">
        <is>
          <t>General</t>
        </is>
      </c>
      <c r="D122" s="3" t="inlineStr">
        <is>
          <t>UN</t>
        </is>
      </c>
      <c r="E122" s="4">
        <f>IF(SUMIFS('By Instance'!$G:$G,'By Instance'!$E:$E,A122,'By Instance'!$C:$C,C122)=0,"",SUMIFS('By Instance'!$G:$G,'By Instance'!$E:$E,A122,'By Instance'!$C:$C,C122))</f>
        <v/>
      </c>
      <c r="F122" s="6">
        <f>IF(OR(E122="",E122=0,G122=""),"",G122/E122)</f>
        <v/>
      </c>
      <c r="G122" s="6">
        <f>IF(SUMIFS('By Instance'!$I:$I,'By Instance'!$E:$E,A122,'By Instance'!$C:$C,C122)=0,"",SUMIFS('By Instance'!$I:$I,'By Instance'!$E:$E,A122,'By Instance'!$C:$C,C122))</f>
        <v/>
      </c>
    </row>
    <row r="123">
      <c r="A123" s="2" t="inlineStr">
        <is>
          <t>ELEC0382</t>
        </is>
      </c>
      <c r="B123" s="3" t="inlineStr">
        <is>
          <t>INT AUTOMATICO 1X 16A C 6KA RX3</t>
        </is>
      </c>
      <c r="C123" s="3" t="inlineStr">
        <is>
          <t>General</t>
        </is>
      </c>
      <c r="D123" s="3" t="inlineStr">
        <is>
          <t>UN</t>
        </is>
      </c>
      <c r="E123" s="4">
        <f>IF(SUMIFS('By Instance'!$G:$G,'By Instance'!$E:$E,A123,'By Instance'!$C:$C,C123)=0,"",SUMIFS('By Instance'!$G:$G,'By Instance'!$E:$E,A123,'By Instance'!$C:$C,C123))</f>
        <v/>
      </c>
      <c r="F123" s="6">
        <f>IF(OR(E123="",E123=0,G123=""),"",G123/E123)</f>
        <v/>
      </c>
      <c r="G123" s="6">
        <f>IF(SUMIFS('By Instance'!$I:$I,'By Instance'!$E:$E,A123,'By Instance'!$C:$C,C123)=0,"",SUMIFS('By Instance'!$I:$I,'By Instance'!$E:$E,A123,'By Instance'!$C:$C,C123))</f>
        <v/>
      </c>
    </row>
    <row r="124">
      <c r="A124" s="2" t="inlineStr">
        <is>
          <t>ELEC0387</t>
        </is>
      </c>
      <c r="B124" s="3" t="inlineStr">
        <is>
          <t>SALIDA CAJA CONDUIT 32MM</t>
        </is>
      </c>
      <c r="C124" s="3" t="inlineStr">
        <is>
          <t>General</t>
        </is>
      </c>
      <c r="D124" s="3" t="inlineStr">
        <is>
          <t>UN</t>
        </is>
      </c>
      <c r="E124" s="4">
        <f>IF(SUMIFS('By Instance'!$G:$G,'By Instance'!$E:$E,A124,'By Instance'!$C:$C,C124)=0,"",SUMIFS('By Instance'!$G:$G,'By Instance'!$E:$E,A124,'By Instance'!$C:$C,C124))</f>
        <v/>
      </c>
      <c r="F124" s="6">
        <f>IF(OR(E124="",E124=0,G124=""),"",G124/E124)</f>
        <v/>
      </c>
      <c r="G124" s="6">
        <f>IF(SUMIFS('By Instance'!$I:$I,'By Instance'!$E:$E,A124,'By Instance'!$C:$C,C124)=0,"",SUMIFS('By Instance'!$I:$I,'By Instance'!$E:$E,A124,'By Instance'!$C:$C,C124))</f>
        <v/>
      </c>
    </row>
    <row r="125">
      <c r="A125" s="2" t="inlineStr">
        <is>
          <t>ELEC0416</t>
        </is>
      </c>
      <c r="B125" s="3" t="inlineStr">
        <is>
          <t>INTERRUPTOR 9/12 16A 250V SINTHESI S17 BLANCO</t>
        </is>
      </c>
      <c r="C125" s="3" t="inlineStr">
        <is>
          <t>General</t>
        </is>
      </c>
      <c r="D125" s="3" t="inlineStr">
        <is>
          <t>UN</t>
        </is>
      </c>
      <c r="E125" s="4">
        <f>IF(SUMIFS('By Instance'!$G:$G,'By Instance'!$E:$E,A125,'By Instance'!$C:$C,C125)=0,"",SUMIFS('By Instance'!$G:$G,'By Instance'!$E:$E,A125,'By Instance'!$C:$C,C125))</f>
        <v/>
      </c>
      <c r="F125" s="6">
        <f>IF(OR(E125="",E125=0,G125=""),"",G125/E125)</f>
        <v/>
      </c>
      <c r="G125" s="6">
        <f>IF(SUMIFS('By Instance'!$I:$I,'By Instance'!$E:$E,A125,'By Instance'!$C:$C,C125)=0,"",SUMIFS('By Instance'!$I:$I,'By Instance'!$E:$E,A125,'By Instance'!$C:$C,C125))</f>
        <v/>
      </c>
    </row>
    <row r="126">
      <c r="A126" s="2" t="inlineStr">
        <is>
          <t>ELEC0417</t>
        </is>
      </c>
      <c r="B126" s="3" t="inlineStr">
        <is>
          <t>PLACA SIMPLE SINTHESI S17 BLANCO</t>
        </is>
      </c>
      <c r="C126" s="3" t="inlineStr">
        <is>
          <t>General</t>
        </is>
      </c>
      <c r="D126" s="3" t="inlineStr">
        <is>
          <t>UN</t>
        </is>
      </c>
      <c r="E126" s="4">
        <f>IF(SUMIFS('By Instance'!$G:$G,'By Instance'!$E:$E,A126,'By Instance'!$C:$C,C126)=0,"",SUMIFS('By Instance'!$G:$G,'By Instance'!$E:$E,A126,'By Instance'!$C:$C,C126))</f>
        <v/>
      </c>
      <c r="F126" s="6">
        <f>IF(OR(E126="",E126=0,G126=""),"",G126/E126)</f>
        <v/>
      </c>
      <c r="G126" s="6">
        <f>IF(SUMIFS('By Instance'!$I:$I,'By Instance'!$E:$E,A126,'By Instance'!$C:$C,C126)=0,"",SUMIFS('By Instance'!$I:$I,'By Instance'!$E:$E,A126,'By Instance'!$C:$C,C126))</f>
        <v/>
      </c>
    </row>
    <row r="127">
      <c r="A127" s="2" t="inlineStr">
        <is>
          <t>ELEC0418</t>
        </is>
      </c>
      <c r="B127" s="3" t="inlineStr">
        <is>
          <t>PLACA CIEGA SINTHESI S17 BLANCO</t>
        </is>
      </c>
      <c r="C127" s="3" t="inlineStr">
        <is>
          <t>General</t>
        </is>
      </c>
      <c r="D127" s="3" t="inlineStr">
        <is>
          <t>UN</t>
        </is>
      </c>
      <c r="E127" s="4">
        <f>IF(SUMIFS('By Instance'!$G:$G,'By Instance'!$E:$E,A127,'By Instance'!$C:$C,C127)=0,"",SUMIFS('By Instance'!$G:$G,'By Instance'!$E:$E,A127,'By Instance'!$C:$C,C127))</f>
        <v/>
      </c>
      <c r="F127" s="6">
        <f>IF(OR(E127="",E127=0,G127=""),"",G127/E127)</f>
        <v/>
      </c>
      <c r="G127" s="6">
        <f>IF(SUMIFS('By Instance'!$I:$I,'By Instance'!$E:$E,A127,'By Instance'!$C:$C,C127)=0,"",SUMIFS('By Instance'!$I:$I,'By Instance'!$E:$E,A127,'By Instance'!$C:$C,C127))</f>
        <v/>
      </c>
    </row>
    <row r="128">
      <c r="A128" s="2" t="inlineStr">
        <is>
          <t>ELEC0458</t>
        </is>
      </c>
      <c r="B128" s="3" t="inlineStr">
        <is>
          <t>CAJA EMPALME PLASTICA 7010-PMD DIN HORIZONTAL</t>
        </is>
      </c>
      <c r="C128" s="3" t="inlineStr">
        <is>
          <t>General</t>
        </is>
      </c>
      <c r="D128" s="3" t="inlineStr">
        <is>
          <t>UN</t>
        </is>
      </c>
      <c r="E128" s="4">
        <f>IF(SUMIFS('By Instance'!$G:$G,'By Instance'!$E:$E,A128,'By Instance'!$C:$C,C128)=0,"",SUMIFS('By Instance'!$G:$G,'By Instance'!$E:$E,A128,'By Instance'!$C:$C,C128))</f>
        <v/>
      </c>
      <c r="F128" s="6">
        <f>IF(OR(E128="",E128=0,G128=""),"",G128/E128)</f>
        <v/>
      </c>
      <c r="G128" s="6">
        <f>IF(SUMIFS('By Instance'!$I:$I,'By Instance'!$E:$E,A128,'By Instance'!$C:$C,C128)=0,"",SUMIFS('By Instance'!$I:$I,'By Instance'!$E:$E,A128,'By Instance'!$C:$C,C128))</f>
        <v/>
      </c>
    </row>
    <row r="129">
      <c r="A129" s="2" t="inlineStr">
        <is>
          <t>ELEC0460</t>
        </is>
      </c>
      <c r="B129" s="3" t="inlineStr">
        <is>
          <t>ABRAZADERA 1/2  20MM ELECTROGALV</t>
        </is>
      </c>
      <c r="C129" s="3" t="inlineStr">
        <is>
          <t>General</t>
        </is>
      </c>
      <c r="D129" s="3" t="inlineStr">
        <is>
          <t>UN</t>
        </is>
      </c>
      <c r="E129" s="4">
        <f>IF(SUMIFS('By Instance'!$G:$G,'By Instance'!$E:$E,A129,'By Instance'!$C:$C,C129)=0,"",SUMIFS('By Instance'!$G:$G,'By Instance'!$E:$E,A129,'By Instance'!$C:$C,C129))</f>
        <v/>
      </c>
      <c r="F129" s="6">
        <f>IF(OR(E129="",E129=0,G129=""),"",G129/E129)</f>
        <v/>
      </c>
      <c r="G129" s="6">
        <f>IF(SUMIFS('By Instance'!$I:$I,'By Instance'!$E:$E,A129,'By Instance'!$C:$C,C129)=0,"",SUMIFS('By Instance'!$I:$I,'By Instance'!$E:$E,A129,'By Instance'!$C:$C,C129))</f>
        <v/>
      </c>
    </row>
    <row r="130">
      <c r="A130" s="2" t="inlineStr">
        <is>
          <t>ELEC0481</t>
        </is>
      </c>
      <c r="B130" s="3" t="inlineStr">
        <is>
          <t>CINTA AISLANTE VINILICA 19MM X18MTS ROJO - AM TEMFLEX 165</t>
        </is>
      </c>
      <c r="C130" s="3" t="inlineStr">
        <is>
          <t>General</t>
        </is>
      </c>
      <c r="D130" s="3" t="inlineStr">
        <is>
          <t>UN</t>
        </is>
      </c>
      <c r="E130" s="4">
        <f>IF(SUMIFS('By Instance'!$G:$G,'By Instance'!$E:$E,A130,'By Instance'!$C:$C,C130)=0,"",SUMIFS('By Instance'!$G:$G,'By Instance'!$E:$E,A130,'By Instance'!$C:$C,C130))</f>
        <v/>
      </c>
      <c r="F130" s="6">
        <f>IF(OR(E130="",E130=0,G130=""),"",G130/E130)</f>
        <v/>
      </c>
      <c r="G130" s="6">
        <f>IF(SUMIFS('By Instance'!$I:$I,'By Instance'!$E:$E,A130,'By Instance'!$C:$C,C130)=0,"",SUMIFS('By Instance'!$I:$I,'By Instance'!$E:$E,A130,'By Instance'!$C:$C,C130))</f>
        <v/>
      </c>
    </row>
    <row r="131">
      <c r="A131" s="2" t="inlineStr">
        <is>
          <t>ELEC0482</t>
        </is>
      </c>
      <c r="B131" s="3" t="inlineStr">
        <is>
          <t>CINTA AISLANTE VINILICA 19MM X18MTS VERDE - AM TEMFLEX 165</t>
        </is>
      </c>
      <c r="C131" s="3" t="inlineStr">
        <is>
          <t>General</t>
        </is>
      </c>
      <c r="D131" s="3" t="inlineStr">
        <is>
          <t>UN</t>
        </is>
      </c>
      <c r="E131" s="4">
        <f>IF(SUMIFS('By Instance'!$G:$G,'By Instance'!$E:$E,A131,'By Instance'!$C:$C,C131)=0,"",SUMIFS('By Instance'!$G:$G,'By Instance'!$E:$E,A131,'By Instance'!$C:$C,C131))</f>
        <v/>
      </c>
      <c r="F131" s="6">
        <f>IF(OR(E131="",E131=0,G131=""),"",G131/E131)</f>
        <v/>
      </c>
      <c r="G131" s="6">
        <f>IF(SUMIFS('By Instance'!$I:$I,'By Instance'!$E:$E,A131,'By Instance'!$C:$C,C131)=0,"",SUMIFS('By Instance'!$I:$I,'By Instance'!$E:$E,A131,'By Instance'!$C:$C,C131))</f>
        <v/>
      </c>
    </row>
    <row r="132">
      <c r="A132" s="2" t="inlineStr">
        <is>
          <t>ELEC0483</t>
        </is>
      </c>
      <c r="B132" s="3" t="inlineStr">
        <is>
          <t>CINTA AISLANTE VINILICA 19MM X18MTS BLANCO - AM TEMFLEX 165</t>
        </is>
      </c>
      <c r="C132" s="3" t="inlineStr">
        <is>
          <t>General</t>
        </is>
      </c>
      <c r="D132" s="3" t="inlineStr">
        <is>
          <t>UN</t>
        </is>
      </c>
      <c r="E132" s="4">
        <f>IF(SUMIFS('By Instance'!$G:$G,'By Instance'!$E:$E,A132,'By Instance'!$C:$C,C132)=0,"",SUMIFS('By Instance'!$G:$G,'By Instance'!$E:$E,A132,'By Instance'!$C:$C,C132))</f>
        <v/>
      </c>
      <c r="F132" s="6">
        <f>IF(OR(E132="",E132=0,G132=""),"",G132/E132)</f>
        <v/>
      </c>
      <c r="G132" s="6">
        <f>IF(SUMIFS('By Instance'!$I:$I,'By Instance'!$E:$E,A132,'By Instance'!$C:$C,C132)=0,"",SUMIFS('By Instance'!$I:$I,'By Instance'!$E:$E,A132,'By Instance'!$C:$C,C132))</f>
        <v/>
      </c>
    </row>
    <row r="133">
      <c r="A133" s="2" t="inlineStr">
        <is>
          <t>ELEC0496</t>
        </is>
      </c>
      <c r="B133" s="3" t="inlineStr">
        <is>
          <t>INT AUTOMATICO 2X 25A C 10KA RX3</t>
        </is>
      </c>
      <c r="C133" s="3" t="inlineStr">
        <is>
          <t>General</t>
        </is>
      </c>
      <c r="D133" s="3" t="inlineStr">
        <is>
          <t>UN</t>
        </is>
      </c>
      <c r="E133" s="4">
        <f>IF(SUMIFS('By Instance'!$G:$G,'By Instance'!$E:$E,A133,'By Instance'!$C:$C,C133)=0,"",SUMIFS('By Instance'!$G:$G,'By Instance'!$E:$E,A133,'By Instance'!$C:$C,C133))</f>
        <v/>
      </c>
      <c r="F133" s="6">
        <f>IF(OR(E133="",E133=0,G133=""),"",G133/E133)</f>
        <v/>
      </c>
      <c r="G133" s="6">
        <f>IF(SUMIFS('By Instance'!$I:$I,'By Instance'!$E:$E,A133,'By Instance'!$C:$C,C133)=0,"",SUMIFS('By Instance'!$I:$I,'By Instance'!$E:$E,A133,'By Instance'!$C:$C,C133))</f>
        <v/>
      </c>
    </row>
    <row r="134">
      <c r="A134" s="2" t="inlineStr">
        <is>
          <t>ELEC0506</t>
        </is>
      </c>
      <c r="B134" s="3" t="inlineStr">
        <is>
          <t>CABLE FLEXIBLE 10AWG M/S/C/B/FLEX</t>
        </is>
      </c>
      <c r="C134" s="3" t="inlineStr">
        <is>
          <t>General</t>
        </is>
      </c>
      <c r="D134" s="3" t="inlineStr">
        <is>
          <t>UN</t>
        </is>
      </c>
      <c r="E134" s="4">
        <f>IF(SUMIFS('By Instance'!$G:$G,'By Instance'!$E:$E,A134,'By Instance'!$C:$C,C134)=0,"",SUMIFS('By Instance'!$G:$G,'By Instance'!$E:$E,A134,'By Instance'!$C:$C,C134))</f>
        <v/>
      </c>
      <c r="F134" s="6">
        <f>IF(OR(E134="",E134=0,G134=""),"",G134/E134)</f>
        <v/>
      </c>
      <c r="G134" s="6">
        <f>IF(SUMIFS('By Instance'!$I:$I,'By Instance'!$E:$E,A134,'By Instance'!$C:$C,C134)=0,"",SUMIFS('By Instance'!$I:$I,'By Instance'!$E:$E,A134,'By Instance'!$C:$C,C134))</f>
        <v/>
      </c>
    </row>
    <row r="135">
      <c r="A135" s="2" t="inlineStr">
        <is>
          <t>ELEC0511</t>
        </is>
      </c>
      <c r="B135" s="3" t="inlineStr">
        <is>
          <t>INTERRUPTOR DIFERENCIAL 2P 25A 30MA AC RX3</t>
        </is>
      </c>
      <c r="C135" s="3" t="inlineStr">
        <is>
          <t>General</t>
        </is>
      </c>
      <c r="D135" s="3" t="inlineStr">
        <is>
          <t>UN</t>
        </is>
      </c>
      <c r="E135" s="4">
        <f>IF(SUMIFS('By Instance'!$G:$G,'By Instance'!$E:$E,A135,'By Instance'!$C:$C,C135)=0,"",SUMIFS('By Instance'!$G:$G,'By Instance'!$E:$E,A135,'By Instance'!$C:$C,C135))</f>
        <v/>
      </c>
      <c r="F135" s="6">
        <f>IF(OR(E135="",E135=0,G135=""),"",G135/E135)</f>
        <v/>
      </c>
      <c r="G135" s="6">
        <f>IF(SUMIFS('By Instance'!$I:$I,'By Instance'!$E:$E,A135,'By Instance'!$C:$C,C135)=0,"",SUMIFS('By Instance'!$I:$I,'By Instance'!$E:$E,A135,'By Instance'!$C:$C,C135))</f>
        <v/>
      </c>
    </row>
    <row r="136">
      <c r="A136" s="2" t="inlineStr">
        <is>
          <t>ELEC0539</t>
        </is>
      </c>
      <c r="B136" s="3" t="inlineStr">
        <is>
          <t>REPARTIDOR BIPOLAR 100A 4MOD LEGR- 400401</t>
        </is>
      </c>
      <c r="C136" s="3" t="inlineStr">
        <is>
          <t>General</t>
        </is>
      </c>
      <c r="D136" s="3" t="inlineStr">
        <is>
          <t>UN</t>
        </is>
      </c>
      <c r="E136" s="4">
        <f>IF(SUMIFS('By Instance'!$G:$G,'By Instance'!$E:$E,A136,'By Instance'!$C:$C,C136)=0,"",SUMIFS('By Instance'!$G:$G,'By Instance'!$E:$E,A136,'By Instance'!$C:$C,C136))</f>
        <v/>
      </c>
      <c r="F136" s="6">
        <f>IF(OR(E136="",E136=0,G136=""),"",G136/E136)</f>
        <v/>
      </c>
      <c r="G136" s="6">
        <f>IF(SUMIFS('By Instance'!$I:$I,'By Instance'!$E:$E,A136,'By Instance'!$C:$C,C136)=0,"",SUMIFS('By Instance'!$I:$I,'By Instance'!$E:$E,A136,'By Instance'!$C:$C,C136))</f>
        <v/>
      </c>
    </row>
    <row r="137">
      <c r="A137" s="2" t="inlineStr">
        <is>
          <t>ELEC0605</t>
        </is>
      </c>
      <c r="B137" s="3" t="inlineStr">
        <is>
          <t>CINTA VINIL 19MM X 9MM TEMFLEX 165 NEGRO</t>
        </is>
      </c>
      <c r="C137" s="3" t="inlineStr">
        <is>
          <t>General</t>
        </is>
      </c>
      <c r="D137" s="3" t="inlineStr">
        <is>
          <t>UN</t>
        </is>
      </c>
      <c r="E137" s="4">
        <f>IF(SUMIFS('By Instance'!$G:$G,'By Instance'!$E:$E,A137,'By Instance'!$C:$C,C137)=0,"",SUMIFS('By Instance'!$G:$G,'By Instance'!$E:$E,A137,'By Instance'!$C:$C,C137))</f>
        <v/>
      </c>
      <c r="F137" s="6">
        <f>IF(OR(E137="",E137=0,G137=""),"",G137/E137)</f>
        <v/>
      </c>
      <c r="G137" s="6">
        <f>IF(SUMIFS('By Instance'!$I:$I,'By Instance'!$E:$E,A137,'By Instance'!$C:$C,C137)=0,"",SUMIFS('By Instance'!$I:$I,'By Instance'!$E:$E,A137,'By Instance'!$C:$C,C137))</f>
        <v/>
      </c>
    </row>
    <row r="138">
      <c r="A138" s="2" t="inlineStr">
        <is>
          <t>ELEC0675</t>
        </is>
      </c>
      <c r="B138" s="3" t="inlineStr">
        <is>
          <t>CINTA GOMA AUTOFUNDENTE EPR 5M 19MM X 0.76MM NEGRA</t>
        </is>
      </c>
      <c r="C138" s="3" t="inlineStr">
        <is>
          <t>General</t>
        </is>
      </c>
      <c r="D138" s="3" t="inlineStr">
        <is>
          <t>UN</t>
        </is>
      </c>
      <c r="E138" s="4">
        <f>IF(SUMIFS('By Instance'!$G:$G,'By Instance'!$E:$E,A138,'By Instance'!$C:$C,C138)=0,"",SUMIFS('By Instance'!$G:$G,'By Instance'!$E:$E,A138,'By Instance'!$C:$C,C138))</f>
        <v/>
      </c>
      <c r="F138" s="6">
        <f>IF(OR(E138="",E138=0,G138=""),"",G138/E138)</f>
        <v/>
      </c>
      <c r="G138" s="6">
        <f>IF(SUMIFS('By Instance'!$I:$I,'By Instance'!$E:$E,A138,'By Instance'!$C:$C,C138)=0,"",SUMIFS('By Instance'!$I:$I,'By Instance'!$E:$E,A138,'By Instance'!$C:$C,C138))</f>
        <v/>
      </c>
    </row>
    <row r="139">
      <c r="A139" s="2" t="inlineStr">
        <is>
          <t>ELEC0711</t>
        </is>
      </c>
      <c r="B139" s="3" t="inlineStr">
        <is>
          <t>FOCO TORTUGA LED CIRCULAR 12W 6000K 840LM IP54</t>
        </is>
      </c>
      <c r="C139" s="3" t="inlineStr">
        <is>
          <t>General</t>
        </is>
      </c>
      <c r="D139" s="3" t="inlineStr">
        <is>
          <t>UN</t>
        </is>
      </c>
      <c r="E139" s="4">
        <f>IF(SUMIFS('By Instance'!$G:$G,'By Instance'!$E:$E,A139,'By Instance'!$C:$C,C139)=0,"",SUMIFS('By Instance'!$G:$G,'By Instance'!$E:$E,A139,'By Instance'!$C:$C,C139))</f>
        <v/>
      </c>
      <c r="F139" s="6">
        <f>IF(OR(E139="",E139=0,G139=""),"",G139/E139)</f>
        <v/>
      </c>
      <c r="G139" s="6">
        <f>IF(SUMIFS('By Instance'!$I:$I,'By Instance'!$E:$E,A139,'By Instance'!$C:$C,C139)=0,"",SUMIFS('By Instance'!$I:$I,'By Instance'!$E:$E,A139,'By Instance'!$C:$C,C139))</f>
        <v/>
      </c>
    </row>
    <row r="140">
      <c r="A140" s="2" t="inlineStr">
        <is>
          <t>ELEC0760</t>
        </is>
      </c>
      <c r="B140" s="3" t="inlineStr">
        <is>
          <t>TORTUGA LED 15W 6500K BLCA. PLASTICA IP65 ELECTR</t>
        </is>
      </c>
      <c r="C140" s="3" t="inlineStr">
        <is>
          <t>General</t>
        </is>
      </c>
      <c r="D140" s="3" t="inlineStr">
        <is>
          <t>UN</t>
        </is>
      </c>
      <c r="E140" s="4">
        <f>IF(SUMIFS('By Instance'!$G:$G,'By Instance'!$E:$E,A140,'By Instance'!$C:$C,C140)=0,"",SUMIFS('By Instance'!$G:$G,'By Instance'!$E:$E,A140,'By Instance'!$C:$C,C140))</f>
        <v/>
      </c>
      <c r="F140" s="6">
        <f>IF(OR(E140="",E140=0,G140=""),"",G140/E140)</f>
        <v/>
      </c>
      <c r="G140" s="6">
        <f>IF(SUMIFS('By Instance'!$I:$I,'By Instance'!$E:$E,A140,'By Instance'!$C:$C,C140)=0,"",SUMIFS('By Instance'!$I:$I,'By Instance'!$E:$E,A140,'By Instance'!$C:$C,C140))</f>
        <v/>
      </c>
    </row>
    <row r="141">
      <c r="A141" s="2" t="inlineStr">
        <is>
          <t>EQPO0005</t>
        </is>
      </c>
      <c r="B141" s="3" t="inlineStr">
        <is>
          <t>CARTUCHO YANES GAS BUTANO (190GRS)</t>
        </is>
      </c>
      <c r="C141" s="3" t="inlineStr">
        <is>
          <t>General</t>
        </is>
      </c>
      <c r="D141" s="3" t="inlineStr">
        <is>
          <t>UN</t>
        </is>
      </c>
      <c r="E141" s="4">
        <f>IF(SUMIFS('By Instance'!$G:$G,'By Instance'!$E:$E,A141,'By Instance'!$C:$C,C141)=0,"",SUMIFS('By Instance'!$G:$G,'By Instance'!$E:$E,A141,'By Instance'!$C:$C,C141))</f>
        <v/>
      </c>
      <c r="F141" s="6">
        <f>IF(OR(E141="",E141=0,G141=""),"",G141/E141)</f>
        <v/>
      </c>
      <c r="G141" s="6">
        <f>IF(SUMIFS('By Instance'!$I:$I,'By Instance'!$E:$E,A141,'By Instance'!$C:$C,C141)=0,"",SUMIFS('By Instance'!$I:$I,'By Instance'!$E:$E,A141,'By Instance'!$C:$C,C141))</f>
        <v/>
      </c>
    </row>
    <row r="142">
      <c r="A142" s="2" t="inlineStr">
        <is>
          <t>ESQI0014</t>
        </is>
      </c>
      <c r="B142" s="3" t="inlineStr">
        <is>
          <t>PERFIL L 11X11MMX3MTS BLANCO</t>
        </is>
      </c>
      <c r="C142" s="3" t="inlineStr">
        <is>
          <t>General</t>
        </is>
      </c>
      <c r="D142" s="3" t="inlineStr">
        <is>
          <t>UN</t>
        </is>
      </c>
      <c r="E142" s="4">
        <f>IF(SUMIFS('By Instance'!$G:$G,'By Instance'!$E:$E,A142,'By Instance'!$C:$C,C142)=0,"",SUMIFS('By Instance'!$G:$G,'By Instance'!$E:$E,A142,'By Instance'!$C:$C,C142))</f>
        <v/>
      </c>
      <c r="F142" s="6">
        <f>IF(OR(E142="",E142=0,G142=""),"",G142/E142)</f>
        <v/>
      </c>
      <c r="G142" s="6">
        <f>IF(SUMIFS('By Instance'!$I:$I,'By Instance'!$E:$E,A142,'By Instance'!$C:$C,C142)=0,"",SUMIFS('By Instance'!$I:$I,'By Instance'!$E:$E,A142,'By Instance'!$C:$C,C142))</f>
        <v/>
      </c>
    </row>
    <row r="143">
      <c r="A143" s="2" t="inlineStr">
        <is>
          <t>ESQI0015</t>
        </is>
      </c>
      <c r="B143" s="3" t="inlineStr">
        <is>
          <t>PERFIL L 20X20MMX3MTS BLANCO</t>
        </is>
      </c>
      <c r="C143" s="3" t="inlineStr">
        <is>
          <t>General</t>
        </is>
      </c>
      <c r="D143" s="3" t="inlineStr">
        <is>
          <t>UN</t>
        </is>
      </c>
      <c r="E143" s="4">
        <f>IF(SUMIFS('By Instance'!$G:$G,'By Instance'!$E:$E,A143,'By Instance'!$C:$C,C143)=0,"",SUMIFS('By Instance'!$G:$G,'By Instance'!$E:$E,A143,'By Instance'!$C:$C,C143))</f>
        <v/>
      </c>
      <c r="F143" s="6">
        <f>IF(OR(E143="",E143=0,G143=""),"",G143/E143)</f>
        <v/>
      </c>
      <c r="G143" s="6">
        <f>IF(SUMIFS('By Instance'!$I:$I,'By Instance'!$E:$E,A143,'By Instance'!$C:$C,C143)=0,"",SUMIFS('By Instance'!$I:$I,'By Instance'!$E:$E,A143,'By Instance'!$C:$C,C143))</f>
        <v/>
      </c>
    </row>
    <row r="144">
      <c r="A144" s="2" t="inlineStr">
        <is>
          <t>ESQI0031</t>
        </is>
      </c>
      <c r="B144" s="3" t="inlineStr">
        <is>
          <t>ANGULO ALUMINIO 20 X 20 MATE</t>
        </is>
      </c>
      <c r="C144" s="3" t="inlineStr">
        <is>
          <t>General</t>
        </is>
      </c>
      <c r="D144" s="3" t="inlineStr">
        <is>
          <t>UN</t>
        </is>
      </c>
      <c r="E144" s="4">
        <f>IF(SUMIFS('By Instance'!$G:$G,'By Instance'!$E:$E,A144,'By Instance'!$C:$C,C144)=0,"",SUMIFS('By Instance'!$G:$G,'By Instance'!$E:$E,A144,'By Instance'!$C:$C,C144))</f>
        <v/>
      </c>
      <c r="F144" s="6">
        <f>IF(OR(E144="",E144=0,G144=""),"",G144/E144)</f>
        <v/>
      </c>
      <c r="G144" s="6">
        <f>IF(SUMIFS('By Instance'!$I:$I,'By Instance'!$E:$E,A144,'By Instance'!$C:$C,C144)=0,"",SUMIFS('By Instance'!$I:$I,'By Instance'!$E:$E,A144,'By Instance'!$C:$C,C144))</f>
        <v/>
      </c>
    </row>
    <row r="145">
      <c r="A145" s="2" t="inlineStr">
        <is>
          <t>ESQI0034</t>
        </is>
      </c>
      <c r="B145" s="3" t="inlineStr">
        <is>
          <t>ESQUINERO P/CERAMICA10MMX2,5M BLANCO</t>
        </is>
      </c>
      <c r="C145" s="3" t="inlineStr">
        <is>
          <t>General</t>
        </is>
      </c>
      <c r="D145" s="3" t="inlineStr">
        <is>
          <t>UN</t>
        </is>
      </c>
      <c r="E145" s="4">
        <f>IF(SUMIFS('By Instance'!$G:$G,'By Instance'!$E:$E,A145,'By Instance'!$C:$C,C145)=0,"",SUMIFS('By Instance'!$G:$G,'By Instance'!$E:$E,A145,'By Instance'!$C:$C,C145))</f>
        <v/>
      </c>
      <c r="F145" s="6">
        <f>IF(OR(E145="",E145=0,G145=""),"",G145/E145)</f>
        <v/>
      </c>
      <c r="G145" s="6">
        <f>IF(SUMIFS('By Instance'!$I:$I,'By Instance'!$E:$E,A145,'By Instance'!$C:$C,C145)=0,"",SUMIFS('By Instance'!$I:$I,'By Instance'!$E:$E,A145,'By Instance'!$C:$C,C145))</f>
        <v/>
      </c>
    </row>
    <row r="146">
      <c r="A146" s="2" t="inlineStr">
        <is>
          <t>ESQI0037</t>
        </is>
      </c>
      <c r="B146" s="3" t="inlineStr">
        <is>
          <t>PERFIL L 40MM X 40MM X 3M BLANCO</t>
        </is>
      </c>
      <c r="C146" s="3" t="inlineStr">
        <is>
          <t>General</t>
        </is>
      </c>
      <c r="D146" s="3" t="inlineStr">
        <is>
          <t>UN</t>
        </is>
      </c>
      <c r="E146" s="4">
        <f>IF(SUMIFS('By Instance'!$G:$G,'By Instance'!$E:$E,A146,'By Instance'!$C:$C,C146)=0,"",SUMIFS('By Instance'!$G:$G,'By Instance'!$E:$E,A146,'By Instance'!$C:$C,C146))</f>
        <v/>
      </c>
      <c r="F146" s="6">
        <f>IF(OR(E146="",E146=0,G146=""),"",G146/E146)</f>
        <v/>
      </c>
      <c r="G146" s="6">
        <f>IF(SUMIFS('By Instance'!$I:$I,'By Instance'!$E:$E,A146,'By Instance'!$C:$C,C146)=0,"",SUMIFS('By Instance'!$I:$I,'By Instance'!$E:$E,A146,'By Instance'!$C:$C,C146))</f>
        <v/>
      </c>
    </row>
    <row r="147">
      <c r="A147" s="2" t="inlineStr">
        <is>
          <t>FIJA0031</t>
        </is>
      </c>
      <c r="B147" s="3" t="inlineStr">
        <is>
          <t>CLAVO R20 034X100 BK 96MM (1500UN)</t>
        </is>
      </c>
      <c r="C147" s="3" t="inlineStr">
        <is>
          <t>General</t>
        </is>
      </c>
      <c r="D147" s="3" t="inlineStr">
        <is>
          <t>CAJA</t>
        </is>
      </c>
      <c r="E147" s="4">
        <f>IF(SUMIFS('By Instance'!$G:$G,'By Instance'!$E:$E,A147,'By Instance'!$C:$C,C147)=0,"",SUMIFS('By Instance'!$G:$G,'By Instance'!$E:$E,A147,'By Instance'!$C:$C,C147))</f>
        <v/>
      </c>
      <c r="F147" s="6">
        <f>IF(OR(E147="",E147=0,G147=""),"",G147/E147)</f>
        <v/>
      </c>
      <c r="G147" s="6">
        <f>IF(SUMIFS('By Instance'!$I:$I,'By Instance'!$E:$E,A147,'By Instance'!$C:$C,C147)=0,"",SUMIFS('By Instance'!$I:$I,'By Instance'!$E:$E,A147,'By Instance'!$C:$C,C147))</f>
        <v/>
      </c>
    </row>
    <row r="148">
      <c r="A148" s="2" t="inlineStr">
        <is>
          <t>FIJA0057</t>
        </is>
      </c>
      <c r="B148" s="3" t="inlineStr">
        <is>
          <t>GRAPA PROFIX 80/12MM X 120.000 UN X CAJA - SAP 1924</t>
        </is>
      </c>
      <c r="C148" s="3" t="inlineStr">
        <is>
          <t>General</t>
        </is>
      </c>
      <c r="D148" s="3" t="inlineStr">
        <is>
          <t>UN</t>
        </is>
      </c>
      <c r="E148" s="4">
        <f>IF(SUMIFS('By Instance'!$G:$G,'By Instance'!$E:$E,A148,'By Instance'!$C:$C,C148)=0,"",SUMIFS('By Instance'!$G:$G,'By Instance'!$E:$E,A148,'By Instance'!$C:$C,C148))</f>
        <v/>
      </c>
      <c r="F148" s="6">
        <f>IF(OR(E148="",E148=0,G148=""),"",G148/E148)</f>
        <v/>
      </c>
      <c r="G148" s="6">
        <f>IF(SUMIFS('By Instance'!$I:$I,'By Instance'!$E:$E,A148,'By Instance'!$C:$C,C148)=0,"",SUMIFS('By Instance'!$I:$I,'By Instance'!$E:$E,A148,'By Instance'!$C:$C,C148))</f>
        <v/>
      </c>
    </row>
    <row r="149">
      <c r="A149" s="2" t="inlineStr">
        <is>
          <t>FIJA0138</t>
        </is>
      </c>
      <c r="B149" s="3" t="inlineStr">
        <is>
          <t>TORNILLO 6X1-5/8</t>
        </is>
      </c>
      <c r="C149" s="3" t="inlineStr">
        <is>
          <t>General</t>
        </is>
      </c>
      <c r="D149" s="3" t="inlineStr">
        <is>
          <t>UN</t>
        </is>
      </c>
      <c r="E149" s="4">
        <f>IF(SUMIFS('By Instance'!$G:$G,'By Instance'!$E:$E,A149,'By Instance'!$C:$C,C149)=0,"",SUMIFS('By Instance'!$G:$G,'By Instance'!$E:$E,A149,'By Instance'!$C:$C,C149))</f>
        <v/>
      </c>
      <c r="F149" s="6">
        <f>IF(OR(E149="",E149=0,G149=""),"",G149/E149)</f>
        <v/>
      </c>
      <c r="G149" s="6">
        <f>IF(SUMIFS('By Instance'!$I:$I,'By Instance'!$E:$E,A149,'By Instance'!$C:$C,C149)=0,"",SUMIFS('By Instance'!$I:$I,'By Instance'!$E:$E,A149,'By Instance'!$C:$C,C149))</f>
        <v/>
      </c>
    </row>
    <row r="150">
      <c r="A150" s="2" t="inlineStr">
        <is>
          <t>FIJA0142</t>
        </is>
      </c>
      <c r="B150" s="3" t="inlineStr">
        <is>
          <t>TORNILLO CAB/LENT PTA FINA 8 X 1/2 in</t>
        </is>
      </c>
      <c r="C150" s="3" t="inlineStr">
        <is>
          <t>General</t>
        </is>
      </c>
      <c r="D150" s="3" t="inlineStr">
        <is>
          <t>UN</t>
        </is>
      </c>
      <c r="E150" s="4">
        <f>IF(SUMIFS('By Instance'!$G:$G,'By Instance'!$E:$E,A150,'By Instance'!$C:$C,C150)=0,"",SUMIFS('By Instance'!$G:$G,'By Instance'!$E:$E,A150,'By Instance'!$C:$C,C150))</f>
        <v/>
      </c>
      <c r="F150" s="6">
        <f>IF(OR(E150="",E150=0,G150=""),"",G150/E150)</f>
        <v/>
      </c>
      <c r="G150" s="6">
        <f>IF(SUMIFS('By Instance'!$I:$I,'By Instance'!$E:$E,A150,'By Instance'!$C:$C,C150)=0,"",SUMIFS('By Instance'!$I:$I,'By Instance'!$E:$E,A150,'By Instance'!$C:$C,C150))</f>
        <v/>
      </c>
    </row>
    <row r="151">
      <c r="A151" s="2" t="inlineStr">
        <is>
          <t>FIJA0144</t>
        </is>
      </c>
      <c r="B151" s="3" t="inlineStr">
        <is>
          <t>TORNILLO VOLC. CRS 6 X 2</t>
        </is>
      </c>
      <c r="C151" s="3" t="inlineStr">
        <is>
          <t>General</t>
        </is>
      </c>
      <c r="D151" s="3" t="inlineStr">
        <is>
          <t>UN</t>
        </is>
      </c>
      <c r="E151" s="4">
        <f>IF(SUMIFS('By Instance'!$G:$G,'By Instance'!$E:$E,A151,'By Instance'!$C:$C,C151)=0,"",SUMIFS('By Instance'!$G:$G,'By Instance'!$E:$E,A151,'By Instance'!$C:$C,C151))</f>
        <v/>
      </c>
      <c r="F151" s="6">
        <f>IF(OR(E151="",E151=0,G151=""),"",G151/E151)</f>
        <v/>
      </c>
      <c r="G151" s="6">
        <f>IF(SUMIFS('By Instance'!$I:$I,'By Instance'!$E:$E,A151,'By Instance'!$C:$C,C151)=0,"",SUMIFS('By Instance'!$I:$I,'By Instance'!$E:$E,A151,'By Instance'!$C:$C,C151))</f>
        <v/>
      </c>
    </row>
    <row r="152">
      <c r="A152" s="2" t="inlineStr">
        <is>
          <t>FIJA0145</t>
        </is>
      </c>
      <c r="B152" s="3" t="inlineStr">
        <is>
          <t>TORNILLO VOLC/MAD CRS 8 X 3</t>
        </is>
      </c>
      <c r="C152" s="3" t="inlineStr">
        <is>
          <t>General</t>
        </is>
      </c>
      <c r="D152" s="3" t="inlineStr">
        <is>
          <t>UN</t>
        </is>
      </c>
      <c r="E152" s="4">
        <f>IF(SUMIFS('By Instance'!$G:$G,'By Instance'!$E:$E,A152,'By Instance'!$C:$C,C152)=0,"",SUMIFS('By Instance'!$G:$G,'By Instance'!$E:$E,A152,'By Instance'!$C:$C,C152))</f>
        <v/>
      </c>
      <c r="F152" s="6">
        <f>IF(OR(E152="",E152=0,G152=""),"",G152/E152)</f>
        <v/>
      </c>
      <c r="G152" s="6">
        <f>IF(SUMIFS('By Instance'!$I:$I,'By Instance'!$E:$E,A152,'By Instance'!$C:$C,C152)=0,"",SUMIFS('By Instance'!$I:$I,'By Instance'!$E:$E,A152,'By Instance'!$C:$C,C152))</f>
        <v/>
      </c>
    </row>
    <row r="153">
      <c r="A153" s="2" t="inlineStr">
        <is>
          <t>FIJA0147</t>
        </is>
      </c>
      <c r="B153" s="3" t="inlineStr">
        <is>
          <t>TORNILLO VOLC/MAD 6 x 3/4 in PTA FINA</t>
        </is>
      </c>
      <c r="C153" s="3" t="inlineStr">
        <is>
          <t>General</t>
        </is>
      </c>
      <c r="D153" s="3" t="inlineStr">
        <is>
          <t>UN</t>
        </is>
      </c>
      <c r="E153" s="4">
        <f>IF(SUMIFS('By Instance'!$G:$G,'By Instance'!$E:$E,A153,'By Instance'!$C:$C,C153)=0,"",SUMIFS('By Instance'!$G:$G,'By Instance'!$E:$E,A153,'By Instance'!$C:$C,C153))</f>
        <v/>
      </c>
      <c r="F153" s="6">
        <f>IF(OR(E153="",E153=0,G153=""),"",G153/E153)</f>
        <v/>
      </c>
      <c r="G153" s="6">
        <f>IF(SUMIFS('By Instance'!$I:$I,'By Instance'!$E:$E,A153,'By Instance'!$C:$C,C153)=0,"",SUMIFS('By Instance'!$I:$I,'By Instance'!$E:$E,A153,'By Instance'!$C:$C,C153))</f>
        <v/>
      </c>
    </row>
    <row r="154">
      <c r="A154" s="2" t="inlineStr">
        <is>
          <t>FIJA0175</t>
        </is>
      </c>
      <c r="B154" s="3" t="inlineStr">
        <is>
          <t>TORNILLO AUTO AVELLANANTE 6X11/4 PTA. FINA</t>
        </is>
      </c>
      <c r="C154" s="3" t="inlineStr">
        <is>
          <t>General</t>
        </is>
      </c>
      <c r="D154" s="3" t="inlineStr">
        <is>
          <t>UN</t>
        </is>
      </c>
      <c r="E154" s="4">
        <f>IF(SUMIFS('By Instance'!$G:$G,'By Instance'!$E:$E,A154,'By Instance'!$C:$C,C154)=0,"",SUMIFS('By Instance'!$G:$G,'By Instance'!$E:$E,A154,'By Instance'!$C:$C,C154))</f>
        <v/>
      </c>
      <c r="F154" s="6">
        <f>IF(OR(E154="",E154=0,G154=""),"",G154/E154)</f>
        <v/>
      </c>
      <c r="G154" s="6">
        <f>IF(SUMIFS('By Instance'!$I:$I,'By Instance'!$E:$E,A154,'By Instance'!$C:$C,C154)=0,"",SUMIFS('By Instance'!$I:$I,'By Instance'!$E:$E,A154,'By Instance'!$C:$C,C154))</f>
        <v/>
      </c>
    </row>
    <row r="155">
      <c r="A155" s="2" t="inlineStr">
        <is>
          <t>FIJA0219</t>
        </is>
      </c>
      <c r="B155" s="3" t="inlineStr">
        <is>
          <t>TIRAFONDO HBS 8X120</t>
        </is>
      </c>
      <c r="C155" s="3" t="inlineStr">
        <is>
          <t>General</t>
        </is>
      </c>
      <c r="D155" s="3" t="inlineStr">
        <is>
          <t>UN</t>
        </is>
      </c>
      <c r="E155" s="4">
        <f>IF(SUMIFS('By Instance'!$G:$G,'By Instance'!$E:$E,A155,'By Instance'!$C:$C,C155)=0,"",SUMIFS('By Instance'!$G:$G,'By Instance'!$E:$E,A155,'By Instance'!$C:$C,C155))</f>
        <v/>
      </c>
      <c r="F155" s="6">
        <f>IF(OR(E155="",E155=0,G155=""),"",G155/E155)</f>
        <v/>
      </c>
      <c r="G155" s="6">
        <f>IF(SUMIFS('By Instance'!$I:$I,'By Instance'!$E:$E,A155,'By Instance'!$C:$C,C155)=0,"",SUMIFS('By Instance'!$I:$I,'By Instance'!$E:$E,A155,'By Instance'!$C:$C,C155))</f>
        <v/>
      </c>
    </row>
    <row r="156">
      <c r="A156" s="2" t="inlineStr">
        <is>
          <t>FIJA0221</t>
        </is>
      </c>
      <c r="B156" s="3" t="inlineStr">
        <is>
          <t>TIRAFONDO TBS 6X100</t>
        </is>
      </c>
      <c r="C156" s="3" t="inlineStr">
        <is>
          <t>General</t>
        </is>
      </c>
      <c r="D156" s="3" t="inlineStr">
        <is>
          <t>UN</t>
        </is>
      </c>
      <c r="E156" s="4">
        <f>IF(SUMIFS('By Instance'!$G:$G,'By Instance'!$E:$E,A156,'By Instance'!$C:$C,C156)=0,"",SUMIFS('By Instance'!$G:$G,'By Instance'!$E:$E,A156,'By Instance'!$C:$C,C156))</f>
        <v/>
      </c>
      <c r="F156" s="6">
        <f>IF(OR(E156="",E156=0,G156=""),"",G156/E156)</f>
        <v/>
      </c>
      <c r="G156" s="6">
        <f>IF(SUMIFS('By Instance'!$I:$I,'By Instance'!$E:$E,A156,'By Instance'!$C:$C,C156)=0,"",SUMIFS('By Instance'!$I:$I,'By Instance'!$E:$E,A156,'By Instance'!$C:$C,C156))</f>
        <v/>
      </c>
    </row>
    <row r="157">
      <c r="A157" s="2" t="inlineStr">
        <is>
          <t>FIJA0223</t>
        </is>
      </c>
      <c r="B157" s="3" t="inlineStr">
        <is>
          <t>TIRAFONDO TBS 6X120</t>
        </is>
      </c>
      <c r="C157" s="3" t="inlineStr">
        <is>
          <t>General</t>
        </is>
      </c>
      <c r="D157" s="3" t="inlineStr">
        <is>
          <t>UN</t>
        </is>
      </c>
      <c r="E157" s="4">
        <f>IF(SUMIFS('By Instance'!$G:$G,'By Instance'!$E:$E,A157,'By Instance'!$C:$C,C157)=0,"",SUMIFS('By Instance'!$G:$G,'By Instance'!$E:$E,A157,'By Instance'!$C:$C,C157))</f>
        <v/>
      </c>
      <c r="F157" s="6">
        <f>IF(OR(E157="",E157=0,G157=""),"",G157/E157)</f>
        <v/>
      </c>
      <c r="G157" s="6">
        <f>IF(SUMIFS('By Instance'!$I:$I,'By Instance'!$E:$E,A157,'By Instance'!$C:$C,C157)=0,"",SUMIFS('By Instance'!$I:$I,'By Instance'!$E:$E,A157,'By Instance'!$C:$C,C157))</f>
        <v/>
      </c>
    </row>
    <row r="158">
      <c r="A158" s="2" t="inlineStr">
        <is>
          <t>FIJA0229</t>
        </is>
      </c>
      <c r="B158" s="3" t="inlineStr">
        <is>
          <t>TIRAFONDO TBS 8X100</t>
        </is>
      </c>
      <c r="C158" s="3" t="inlineStr">
        <is>
          <t>General</t>
        </is>
      </c>
      <c r="D158" s="3" t="inlineStr">
        <is>
          <t>UN</t>
        </is>
      </c>
      <c r="E158" s="4">
        <f>IF(SUMIFS('By Instance'!$G:$G,'By Instance'!$E:$E,A158,'By Instance'!$C:$C,C158)=0,"",SUMIFS('By Instance'!$G:$G,'By Instance'!$E:$E,A158,'By Instance'!$C:$C,C158))</f>
        <v/>
      </c>
      <c r="F158" s="6">
        <f>IF(OR(E158="",E158=0,G158=""),"",G158/E158)</f>
        <v/>
      </c>
      <c r="G158" s="6">
        <f>IF(SUMIFS('By Instance'!$I:$I,'By Instance'!$E:$E,A158,'By Instance'!$C:$C,C158)=0,"",SUMIFS('By Instance'!$I:$I,'By Instance'!$E:$E,A158,'By Instance'!$C:$C,C158))</f>
        <v/>
      </c>
    </row>
    <row r="159">
      <c r="A159" s="2" t="inlineStr">
        <is>
          <t>FIJA0231</t>
        </is>
      </c>
      <c r="B159" s="3" t="inlineStr">
        <is>
          <t>TIRAFONDO TBS 8X140</t>
        </is>
      </c>
      <c r="C159" s="3" t="inlineStr">
        <is>
          <t>General</t>
        </is>
      </c>
      <c r="D159" s="3" t="inlineStr">
        <is>
          <t>UN</t>
        </is>
      </c>
      <c r="E159" s="4">
        <f>IF(SUMIFS('By Instance'!$G:$G,'By Instance'!$E:$E,A159,'By Instance'!$C:$C,C159)=0,"",SUMIFS('By Instance'!$G:$G,'By Instance'!$E:$E,A159,'By Instance'!$C:$C,C159))</f>
        <v/>
      </c>
      <c r="F159" s="6">
        <f>IF(OR(E159="",E159=0,G159=""),"",G159/E159)</f>
        <v/>
      </c>
      <c r="G159" s="6">
        <f>IF(SUMIFS('By Instance'!$I:$I,'By Instance'!$E:$E,A159,'By Instance'!$C:$C,C159)=0,"",SUMIFS('By Instance'!$I:$I,'By Instance'!$E:$E,A159,'By Instance'!$C:$C,C159))</f>
        <v/>
      </c>
    </row>
    <row r="160">
      <c r="A160" s="2" t="inlineStr">
        <is>
          <t>FIJA0232</t>
        </is>
      </c>
      <c r="B160" s="3" t="inlineStr">
        <is>
          <t>TIRAFONDO TBS 8X160</t>
        </is>
      </c>
      <c r="C160" s="3" t="inlineStr">
        <is>
          <t>General</t>
        </is>
      </c>
      <c r="D160" s="3" t="inlineStr">
        <is>
          <t>UN</t>
        </is>
      </c>
      <c r="E160" s="4">
        <f>IF(SUMIFS('By Instance'!$G:$G,'By Instance'!$E:$E,A160,'By Instance'!$C:$C,C160)=0,"",SUMIFS('By Instance'!$G:$G,'By Instance'!$E:$E,A160,'By Instance'!$C:$C,C160))</f>
        <v/>
      </c>
      <c r="F160" s="6">
        <f>IF(OR(E160="",E160=0,G160=""),"",G160/E160)</f>
        <v/>
      </c>
      <c r="G160" s="6">
        <f>IF(SUMIFS('By Instance'!$I:$I,'By Instance'!$E:$E,A160,'By Instance'!$C:$C,C160)=0,"",SUMIFS('By Instance'!$I:$I,'By Instance'!$E:$E,A160,'By Instance'!$C:$C,C160))</f>
        <v/>
      </c>
    </row>
    <row r="161">
      <c r="A161" s="2" t="inlineStr">
        <is>
          <t>FIJA0246</t>
        </is>
      </c>
      <c r="B161" s="3" t="inlineStr">
        <is>
          <t>ANCLAJE TITEN 1/2x4 ZINCADO</t>
        </is>
      </c>
      <c r="C161" s="3" t="inlineStr">
        <is>
          <t>General</t>
        </is>
      </c>
      <c r="D161" s="3" t="inlineStr">
        <is>
          <t>UN</t>
        </is>
      </c>
      <c r="E161" s="4">
        <f>IF(SUMIFS('By Instance'!$G:$G,'By Instance'!$E:$E,A161,'By Instance'!$C:$C,C161)=0,"",SUMIFS('By Instance'!$G:$G,'By Instance'!$E:$E,A161,'By Instance'!$C:$C,C161))</f>
        <v/>
      </c>
      <c r="F161" s="6">
        <f>IF(OR(E161="",E161=0,G161=""),"",G161/E161)</f>
        <v/>
      </c>
      <c r="G161" s="6">
        <f>IF(SUMIFS('By Instance'!$I:$I,'By Instance'!$E:$E,A161,'By Instance'!$C:$C,C161)=0,"",SUMIFS('By Instance'!$I:$I,'By Instance'!$E:$E,A161,'By Instance'!$C:$C,C161))</f>
        <v/>
      </c>
    </row>
    <row r="162">
      <c r="A162" s="2" t="inlineStr">
        <is>
          <t>FIJA0253</t>
        </is>
      </c>
      <c r="B162" s="3" t="inlineStr">
        <is>
          <t>TIRAFONDO TBS 6X80</t>
        </is>
      </c>
      <c r="C162" s="3" t="inlineStr">
        <is>
          <t>General</t>
        </is>
      </c>
      <c r="D162" s="3" t="inlineStr">
        <is>
          <t>UN</t>
        </is>
      </c>
      <c r="E162" s="4">
        <f>IF(SUMIFS('By Instance'!$G:$G,'By Instance'!$E:$E,A162,'By Instance'!$C:$C,C162)=0,"",SUMIFS('By Instance'!$G:$G,'By Instance'!$E:$E,A162,'By Instance'!$C:$C,C162))</f>
        <v/>
      </c>
      <c r="F162" s="6">
        <f>IF(OR(E162="",E162=0,G162=""),"",G162/E162)</f>
        <v/>
      </c>
      <c r="G162" s="6">
        <f>IF(SUMIFS('By Instance'!$I:$I,'By Instance'!$E:$E,A162,'By Instance'!$C:$C,C162)=0,"",SUMIFS('By Instance'!$I:$I,'By Instance'!$E:$E,A162,'By Instance'!$C:$C,C162))</f>
        <v/>
      </c>
    </row>
    <row r="163">
      <c r="A163" s="2" t="inlineStr">
        <is>
          <t>FIJA0260</t>
        </is>
      </c>
      <c r="B163" s="3" t="inlineStr">
        <is>
          <t>PUNTILLAS 1 1/2</t>
        </is>
      </c>
      <c r="C163" s="3" t="inlineStr">
        <is>
          <t>General</t>
        </is>
      </c>
      <c r="D163" s="3" t="inlineStr">
        <is>
          <t>KG</t>
        </is>
      </c>
      <c r="E163" s="4">
        <f>IF(SUMIFS('By Instance'!$G:$G,'By Instance'!$E:$E,A163,'By Instance'!$C:$C,C163)=0,"",SUMIFS('By Instance'!$G:$G,'By Instance'!$E:$E,A163,'By Instance'!$C:$C,C163))</f>
        <v/>
      </c>
      <c r="F163" s="6">
        <f>IF(OR(E163="",E163=0,G163=""),"",G163/E163)</f>
        <v/>
      </c>
      <c r="G163" s="6">
        <f>IF(SUMIFS('By Instance'!$I:$I,'By Instance'!$E:$E,A163,'By Instance'!$C:$C,C163)=0,"",SUMIFS('By Instance'!$I:$I,'By Instance'!$E:$E,A163,'By Instance'!$C:$C,C163))</f>
        <v/>
      </c>
    </row>
    <row r="164">
      <c r="A164" s="2" t="inlineStr">
        <is>
          <t>FIJA0279</t>
        </is>
      </c>
      <c r="B164" s="3" t="inlineStr">
        <is>
          <t>PLACA ESTRUCTURALl AS 3  (76,2mm) x 6  (152mm)</t>
        </is>
      </c>
      <c r="C164" s="3" t="inlineStr">
        <is>
          <t>General</t>
        </is>
      </c>
      <c r="D164" s="3" t="inlineStr">
        <is>
          <t>UN</t>
        </is>
      </c>
      <c r="E164" s="4">
        <f>IF(SUMIFS('By Instance'!$G:$G,'By Instance'!$E:$E,A164,'By Instance'!$C:$C,C164)=0,"",SUMIFS('By Instance'!$G:$G,'By Instance'!$E:$E,A164,'By Instance'!$C:$C,C164))</f>
        <v/>
      </c>
      <c r="F164" s="6">
        <f>IF(OR(E164="",E164=0,G164=""),"",G164/E164)</f>
        <v/>
      </c>
      <c r="G164" s="6">
        <f>IF(SUMIFS('By Instance'!$I:$I,'By Instance'!$E:$E,A164,'By Instance'!$C:$C,C164)=0,"",SUMIFS('By Instance'!$I:$I,'By Instance'!$E:$E,A164,'By Instance'!$C:$C,C164))</f>
        <v/>
      </c>
    </row>
    <row r="165">
      <c r="A165" s="2" t="inlineStr">
        <is>
          <t>FIJA0280</t>
        </is>
      </c>
      <c r="B165" s="3" t="inlineStr">
        <is>
          <t>PLACA ESTRUCTURAL AS 4  (101,6mm) x 8  (203,2mm)</t>
        </is>
      </c>
      <c r="C165" s="3" t="inlineStr">
        <is>
          <t>General</t>
        </is>
      </c>
      <c r="D165" s="3" t="inlineStr">
        <is>
          <t>UN</t>
        </is>
      </c>
      <c r="E165" s="4">
        <f>IF(SUMIFS('By Instance'!$G:$G,'By Instance'!$E:$E,A165,'By Instance'!$C:$C,C165)=0,"",SUMIFS('By Instance'!$G:$G,'By Instance'!$E:$E,A165,'By Instance'!$C:$C,C165))</f>
        <v/>
      </c>
      <c r="F165" s="6">
        <f>IF(OR(E165="",E165=0,G165=""),"",G165/E165)</f>
        <v/>
      </c>
      <c r="G165" s="6">
        <f>IF(SUMIFS('By Instance'!$I:$I,'By Instance'!$E:$E,A165,'By Instance'!$C:$C,C165)=0,"",SUMIFS('By Instance'!$I:$I,'By Instance'!$E:$E,A165,'By Instance'!$C:$C,C165))</f>
        <v/>
      </c>
    </row>
    <row r="166">
      <c r="A166" s="2" t="inlineStr">
        <is>
          <t>FIJA0283</t>
        </is>
      </c>
      <c r="B166" s="3" t="inlineStr">
        <is>
          <t>CLAVO HELICOIDAL PROFIX 2.8X75mmX250X20</t>
        </is>
      </c>
      <c r="C166" s="3" t="inlineStr">
        <is>
          <t>General</t>
        </is>
      </c>
      <c r="D166" s="3" t="inlineStr">
        <is>
          <t>CAJA</t>
        </is>
      </c>
      <c r="E166" s="4">
        <f>IF(SUMIFS('By Instance'!$G:$G,'By Instance'!$E:$E,A166,'By Instance'!$C:$C,C166)=0,"",SUMIFS('By Instance'!$G:$G,'By Instance'!$E:$E,A166,'By Instance'!$C:$C,C166))</f>
        <v/>
      </c>
      <c r="F166" s="6">
        <f>IF(OR(E166="",E166=0,G166=""),"",G166/E166)</f>
        <v/>
      </c>
      <c r="G166" s="6">
        <f>IF(SUMIFS('By Instance'!$I:$I,'By Instance'!$E:$E,A166,'By Instance'!$C:$C,C166)=0,"",SUMIFS('By Instance'!$I:$I,'By Instance'!$E:$E,A166,'By Instance'!$C:$C,C166))</f>
        <v/>
      </c>
    </row>
    <row r="167">
      <c r="A167" s="2" t="inlineStr">
        <is>
          <t>FIJA0284</t>
        </is>
      </c>
      <c r="B167" s="3" t="inlineStr">
        <is>
          <t>CLAVO HELICOIDAL PROFIX 2.5X65mmX300X30</t>
        </is>
      </c>
      <c r="C167" s="3" t="inlineStr">
        <is>
          <t>General</t>
        </is>
      </c>
      <c r="D167" s="3" t="inlineStr">
        <is>
          <t>CAJA</t>
        </is>
      </c>
      <c r="E167" s="4">
        <f>IF(SUMIFS('By Instance'!$G:$G,'By Instance'!$E:$E,A167,'By Instance'!$C:$C,C167)=0,"",SUMIFS('By Instance'!$G:$G,'By Instance'!$E:$E,A167,'By Instance'!$C:$C,C167))</f>
        <v/>
      </c>
      <c r="F167" s="6">
        <f>IF(OR(E167="",E167=0,G167=""),"",G167/E167)</f>
        <v/>
      </c>
      <c r="G167" s="6">
        <f>IF(SUMIFS('By Instance'!$I:$I,'By Instance'!$E:$E,A167,'By Instance'!$C:$C,C167)=0,"",SUMIFS('By Instance'!$I:$I,'By Instance'!$E:$E,A167,'By Instance'!$C:$C,C167))</f>
        <v/>
      </c>
    </row>
    <row r="168">
      <c r="A168" s="2" t="inlineStr">
        <is>
          <t>FIJA0312</t>
        </is>
      </c>
      <c r="B168" s="3" t="inlineStr">
        <is>
          <t>TORNILLO VOLC/MAD P/AGUDA CINCADO 6x1. 1/4 in</t>
        </is>
      </c>
      <c r="C168" s="3" t="inlineStr">
        <is>
          <t>General</t>
        </is>
      </c>
      <c r="D168" s="3" t="inlineStr">
        <is>
          <t>UN</t>
        </is>
      </c>
      <c r="E168" s="4">
        <f>IF(SUMIFS('By Instance'!$G:$G,'By Instance'!$E:$E,A168,'By Instance'!$C:$C,C168)=0,"",SUMIFS('By Instance'!$G:$G,'By Instance'!$E:$E,A168,'By Instance'!$C:$C,C168))</f>
        <v/>
      </c>
      <c r="F168" s="6">
        <f>IF(OR(E168="",E168=0,G168=""),"",G168/E168)</f>
        <v/>
      </c>
      <c r="G168" s="6">
        <f>IF(SUMIFS('By Instance'!$I:$I,'By Instance'!$E:$E,A168,'By Instance'!$C:$C,C168)=0,"",SUMIFS('By Instance'!$I:$I,'By Instance'!$E:$E,A168,'By Instance'!$C:$C,C168))</f>
        <v/>
      </c>
    </row>
    <row r="169">
      <c r="A169" s="2" t="inlineStr">
        <is>
          <t>FIJA0324</t>
        </is>
      </c>
      <c r="B169" s="3" t="inlineStr">
        <is>
          <t>PUNTA F-12/50mm x 5000un</t>
        </is>
      </c>
      <c r="C169" s="3" t="inlineStr">
        <is>
          <t>General</t>
        </is>
      </c>
      <c r="D169" s="3" t="inlineStr">
        <is>
          <t>CAJA</t>
        </is>
      </c>
      <c r="E169" s="4">
        <f>IF(SUMIFS('By Instance'!$G:$G,'By Instance'!$E:$E,A169,'By Instance'!$C:$C,C169)=0,"",SUMIFS('By Instance'!$G:$G,'By Instance'!$E:$E,A169,'By Instance'!$C:$C,C169))</f>
        <v/>
      </c>
      <c r="F169" s="6">
        <f>IF(OR(E169="",E169=0,G169=""),"",G169/E169)</f>
        <v/>
      </c>
      <c r="G169" s="6">
        <f>IF(SUMIFS('By Instance'!$I:$I,'By Instance'!$E:$E,A169,'By Instance'!$C:$C,C169)=0,"",SUMIFS('By Instance'!$I:$I,'By Instance'!$E:$E,A169,'By Instance'!$C:$C,C169))</f>
        <v/>
      </c>
    </row>
    <row r="170">
      <c r="A170" s="2" t="inlineStr">
        <is>
          <t>FIJA0332</t>
        </is>
      </c>
      <c r="B170" s="3" t="inlineStr">
        <is>
          <t>TIRAFONDO HBS 8X100</t>
        </is>
      </c>
      <c r="C170" s="3" t="inlineStr">
        <is>
          <t>General</t>
        </is>
      </c>
      <c r="D170" s="3" t="inlineStr">
        <is>
          <t>UN</t>
        </is>
      </c>
      <c r="E170" s="4">
        <f>IF(SUMIFS('By Instance'!$G:$G,'By Instance'!$E:$E,A170,'By Instance'!$C:$C,C170)=0,"",SUMIFS('By Instance'!$G:$G,'By Instance'!$E:$E,A170,'By Instance'!$C:$C,C170))</f>
        <v/>
      </c>
      <c r="F170" s="6">
        <f>IF(OR(E170="",E170=0,G170=""),"",G170/E170)</f>
        <v/>
      </c>
      <c r="G170" s="6">
        <f>IF(SUMIFS('By Instance'!$I:$I,'By Instance'!$E:$E,A170,'By Instance'!$C:$C,C170)=0,"",SUMIFS('By Instance'!$I:$I,'By Instance'!$E:$E,A170,'By Instance'!$C:$C,C170))</f>
        <v/>
      </c>
    </row>
    <row r="171">
      <c r="A171" s="2" t="inlineStr">
        <is>
          <t>FIJA0344</t>
        </is>
      </c>
      <c r="B171" s="3" t="inlineStr">
        <is>
          <t>14GA 52-1/2FT COILED STRAP CMST14</t>
        </is>
      </c>
      <c r="C171" s="3" t="inlineStr">
        <is>
          <t>General</t>
        </is>
      </c>
      <c r="D171" s="3" t="inlineStr">
        <is>
          <t>ROLLO</t>
        </is>
      </c>
      <c r="E171" s="4">
        <f>IF(SUMIFS('By Instance'!$G:$G,'By Instance'!$E:$E,A171,'By Instance'!$C:$C,C171)=0,"",SUMIFS('By Instance'!$G:$G,'By Instance'!$E:$E,A171,'By Instance'!$C:$C,C171))</f>
        <v/>
      </c>
      <c r="F171" s="6">
        <f>IF(OR(E171="",E171=0,G171=""),"",G171/E171)</f>
        <v/>
      </c>
      <c r="G171" s="6">
        <f>IF(SUMIFS('By Instance'!$I:$I,'By Instance'!$E:$E,A171,'By Instance'!$C:$C,C171)=0,"",SUMIFS('By Instance'!$I:$I,'By Instance'!$E:$E,A171,'By Instance'!$C:$C,C171))</f>
        <v/>
      </c>
    </row>
    <row r="172">
      <c r="A172" s="2" t="inlineStr">
        <is>
          <t>FIJA0345</t>
        </is>
      </c>
      <c r="B172" s="3" t="inlineStr">
        <is>
          <t>2 X 6IN MEDIUM L ANGLE ZMAX ML26Z</t>
        </is>
      </c>
      <c r="C172" s="3" t="inlineStr">
        <is>
          <t>General</t>
        </is>
      </c>
      <c r="D172" s="3" t="inlineStr">
        <is>
          <t>UN</t>
        </is>
      </c>
      <c r="E172" s="4">
        <f>IF(SUMIFS('By Instance'!$G:$G,'By Instance'!$E:$E,A172,'By Instance'!$C:$C,C172)=0,"",SUMIFS('By Instance'!$G:$G,'By Instance'!$E:$E,A172,'By Instance'!$C:$C,C172))</f>
        <v/>
      </c>
      <c r="F172" s="6">
        <f>IF(OR(E172="",E172=0,G172=""),"",G172/E172)</f>
        <v/>
      </c>
      <c r="G172" s="6">
        <f>IF(SUMIFS('By Instance'!$I:$I,'By Instance'!$E:$E,A172,'By Instance'!$C:$C,C172)=0,"",SUMIFS('By Instance'!$I:$I,'By Instance'!$E:$E,A172,'By Instance'!$C:$C,C172))</f>
        <v/>
      </c>
    </row>
    <row r="173">
      <c r="A173" s="2" t="inlineStr">
        <is>
          <t>FIJA0347</t>
        </is>
      </c>
      <c r="B173" s="3" t="inlineStr">
        <is>
          <t>WHT PLACE C PLACA MADERA-HORMGON 60X440X3</t>
        </is>
      </c>
      <c r="C173" s="3" t="inlineStr">
        <is>
          <t>General</t>
        </is>
      </c>
      <c r="D173" s="3" t="inlineStr">
        <is>
          <t>UN</t>
        </is>
      </c>
      <c r="E173" s="4">
        <f>IF(SUMIFS('By Instance'!$G:$G,'By Instance'!$E:$E,A173,'By Instance'!$C:$C,C173)=0,"",SUMIFS('By Instance'!$G:$G,'By Instance'!$E:$E,A173,'By Instance'!$C:$C,C173))</f>
        <v/>
      </c>
      <c r="F173" s="6">
        <f>IF(OR(E173="",E173=0,G173=""),"",G173/E173)</f>
        <v/>
      </c>
      <c r="G173" s="6">
        <f>IF(SUMIFS('By Instance'!$I:$I,'By Instance'!$E:$E,A173,'By Instance'!$C:$C,C173)=0,"",SUMIFS('By Instance'!$I:$I,'By Instance'!$E:$E,A173,'By Instance'!$C:$C,C173))</f>
        <v/>
      </c>
    </row>
    <row r="174">
      <c r="A174" s="2" t="inlineStr">
        <is>
          <t>FIJA0349</t>
        </is>
      </c>
      <c r="B174" s="3" t="inlineStr">
        <is>
          <t>CLAVO GALVANIZADO EN CALIENTE 10D 3.8MM X 76.2MM 50UNI</t>
        </is>
      </c>
      <c r="C174" s="3" t="inlineStr">
        <is>
          <t>General</t>
        </is>
      </c>
      <c r="D174" s="3" t="inlineStr">
        <is>
          <t>UN</t>
        </is>
      </c>
      <c r="E174" s="4">
        <f>IF(SUMIFS('By Instance'!$G:$G,'By Instance'!$E:$E,A174,'By Instance'!$C:$C,C174)=0,"",SUMIFS('By Instance'!$G:$G,'By Instance'!$E:$E,A174,'By Instance'!$C:$C,C174))</f>
        <v/>
      </c>
      <c r="F174" s="6">
        <f>IF(OR(E174="",E174=0,G174=""),"",G174/E174)</f>
        <v/>
      </c>
      <c r="G174" s="6">
        <f>IF(SUMIFS('By Instance'!$I:$I,'By Instance'!$E:$E,A174,'By Instance'!$C:$C,C174)=0,"",SUMIFS('By Instance'!$I:$I,'By Instance'!$E:$E,A174,'By Instance'!$C:$C,C174))</f>
        <v/>
      </c>
    </row>
    <row r="175">
      <c r="A175" s="2" t="inlineStr">
        <is>
          <t>FIJA0383</t>
        </is>
      </c>
      <c r="B175" s="3" t="inlineStr">
        <is>
          <t>TORNILLO LENTEJA PUNTA FINA 8 - 3/4</t>
        </is>
      </c>
      <c r="C175" s="3" t="inlineStr">
        <is>
          <t>General</t>
        </is>
      </c>
      <c r="D175" s="3" t="inlineStr">
        <is>
          <t>UN</t>
        </is>
      </c>
      <c r="E175" s="4">
        <f>IF(SUMIFS('By Instance'!$G:$G,'By Instance'!$E:$E,A175,'By Instance'!$C:$C,C175)=0,"",SUMIFS('By Instance'!$G:$G,'By Instance'!$E:$E,A175,'By Instance'!$C:$C,C175))</f>
        <v/>
      </c>
      <c r="F175" s="6">
        <f>IF(OR(E175="",E175=0,G175=""),"",G175/E175)</f>
        <v/>
      </c>
      <c r="G175" s="6">
        <f>IF(SUMIFS('By Instance'!$I:$I,'By Instance'!$E:$E,A175,'By Instance'!$C:$C,C175)=0,"",SUMIFS('By Instance'!$I:$I,'By Instance'!$E:$E,A175,'By Instance'!$C:$C,C175))</f>
        <v/>
      </c>
    </row>
    <row r="176">
      <c r="A176" s="2" t="inlineStr">
        <is>
          <t>FIJA0410</t>
        </is>
      </c>
      <c r="B176" s="3" t="inlineStr">
        <is>
          <t>TIRAFONDO TBS 10X100</t>
        </is>
      </c>
      <c r="C176" s="3" t="inlineStr">
        <is>
          <t>General</t>
        </is>
      </c>
      <c r="D176" s="3" t="inlineStr">
        <is>
          <t>UN</t>
        </is>
      </c>
      <c r="E176" s="4">
        <f>IF(SUMIFS('By Instance'!$G:$G,'By Instance'!$E:$E,A176,'By Instance'!$C:$C,C176)=0,"",SUMIFS('By Instance'!$G:$G,'By Instance'!$E:$E,A176,'By Instance'!$C:$C,C176))</f>
        <v/>
      </c>
      <c r="F176" s="6">
        <f>IF(OR(E176="",E176=0,G176=""),"",G176/E176)</f>
        <v/>
      </c>
      <c r="G176" s="6">
        <f>IF(SUMIFS('By Instance'!$I:$I,'By Instance'!$E:$E,A176,'By Instance'!$C:$C,C176)=0,"",SUMIFS('By Instance'!$I:$I,'By Instance'!$E:$E,A176,'By Instance'!$C:$C,C176))</f>
        <v/>
      </c>
    </row>
    <row r="177">
      <c r="A177" s="2" t="inlineStr">
        <is>
          <t>FIJA0411</t>
        </is>
      </c>
      <c r="B177" s="3" t="inlineStr">
        <is>
          <t>TOR VOLC/MAD CRS FOSFATADO 6 X 1.1/4</t>
        </is>
      </c>
      <c r="C177" s="3" t="inlineStr">
        <is>
          <t>General</t>
        </is>
      </c>
      <c r="D177" s="3" t="inlineStr">
        <is>
          <t>UN</t>
        </is>
      </c>
      <c r="E177" s="4">
        <f>IF(SUMIFS('By Instance'!$G:$G,'By Instance'!$E:$E,A177,'By Instance'!$C:$C,C177)=0,"",SUMIFS('By Instance'!$G:$G,'By Instance'!$E:$E,A177,'By Instance'!$C:$C,C177))</f>
        <v/>
      </c>
      <c r="F177" s="6">
        <f>IF(OR(E177="",E177=0,G177=""),"",G177/E177)</f>
        <v/>
      </c>
      <c r="G177" s="6">
        <f>IF(SUMIFS('By Instance'!$I:$I,'By Instance'!$E:$E,A177,'By Instance'!$C:$C,C177)=0,"",SUMIFS('By Instance'!$I:$I,'By Instance'!$E:$E,A177,'By Instance'!$C:$C,C177))</f>
        <v/>
      </c>
    </row>
    <row r="178">
      <c r="A178" s="2" t="inlineStr">
        <is>
          <t>FIJA0416</t>
        </is>
      </c>
      <c r="B178" s="3" t="inlineStr">
        <is>
          <t>TORNILLO C/HEX APERF ESPAD/LABIO EPDM 10-12X2.1/2</t>
        </is>
      </c>
      <c r="C178" s="3" t="inlineStr">
        <is>
          <t>General</t>
        </is>
      </c>
      <c r="D178" s="3" t="inlineStr"/>
      <c r="E178" s="4">
        <f>IF(SUMIFS('By Instance'!$G:$G,'By Instance'!$E:$E,A178,'By Instance'!$C:$C,C178)=0,"",SUMIFS('By Instance'!$G:$G,'By Instance'!$E:$E,A178,'By Instance'!$C:$C,C178))</f>
        <v/>
      </c>
      <c r="F178" s="6">
        <f>IF(OR(E178="",E178=0,G178=""),"",G178/E178)</f>
        <v/>
      </c>
      <c r="G178" s="6">
        <f>IF(SUMIFS('By Instance'!$I:$I,'By Instance'!$E:$E,A178,'By Instance'!$C:$C,C178)=0,"",SUMIFS('By Instance'!$I:$I,'By Instance'!$E:$E,A178,'By Instance'!$C:$C,C178))</f>
        <v/>
      </c>
    </row>
    <row r="179">
      <c r="A179" s="2" t="inlineStr">
        <is>
          <t>FIJA0424</t>
        </is>
      </c>
      <c r="B179" s="3" t="inlineStr">
        <is>
          <t>AUTOPERFORANTE STITCH HEX- 1/4 - 14/7/8</t>
        </is>
      </c>
      <c r="C179" s="3" t="inlineStr">
        <is>
          <t>General</t>
        </is>
      </c>
      <c r="D179" s="3" t="inlineStr">
        <is>
          <t>UN</t>
        </is>
      </c>
      <c r="E179" s="4">
        <f>IF(SUMIFS('By Instance'!$G:$G,'By Instance'!$E:$E,A179,'By Instance'!$C:$C,C179)=0,"",SUMIFS('By Instance'!$G:$G,'By Instance'!$E:$E,A179,'By Instance'!$C:$C,C179))</f>
        <v/>
      </c>
      <c r="F179" s="6">
        <f>IF(OR(E179="",E179=0,G179=""),"",G179/E179)</f>
        <v/>
      </c>
      <c r="G179" s="6">
        <f>IF(SUMIFS('By Instance'!$I:$I,'By Instance'!$E:$E,A179,'By Instance'!$C:$C,C179)=0,"",SUMIFS('By Instance'!$I:$I,'By Instance'!$E:$E,A179,'By Instance'!$C:$C,C179))</f>
        <v/>
      </c>
    </row>
    <row r="180">
      <c r="A180" s="2" t="inlineStr">
        <is>
          <t>FIJA0429</t>
        </is>
      </c>
      <c r="B180" s="3" t="inlineStr">
        <is>
          <t>TORNILLO PARA CONECTOR SDS 1/4 X 1. 1/2 SDS25112</t>
        </is>
      </c>
      <c r="C180" s="3" t="inlineStr">
        <is>
          <t>General</t>
        </is>
      </c>
      <c r="D180" s="3" t="inlineStr">
        <is>
          <t>UN</t>
        </is>
      </c>
      <c r="E180" s="4">
        <f>IF(SUMIFS('By Instance'!$G:$G,'By Instance'!$E:$E,A180,'By Instance'!$C:$C,C180)=0,"",SUMIFS('By Instance'!$G:$G,'By Instance'!$E:$E,A180,'By Instance'!$C:$C,C180))</f>
        <v/>
      </c>
      <c r="F180" s="6">
        <f>IF(OR(E180="",E180=0,G180=""),"",G180/E180)</f>
        <v/>
      </c>
      <c r="G180" s="6">
        <f>IF(SUMIFS('By Instance'!$I:$I,'By Instance'!$E:$E,A180,'By Instance'!$C:$C,C180)=0,"",SUMIFS('By Instance'!$I:$I,'By Instance'!$E:$E,A180,'By Instance'!$C:$C,C180))</f>
        <v/>
      </c>
    </row>
    <row r="181">
      <c r="A181" s="2" t="inlineStr">
        <is>
          <t>FIJA0487</t>
        </is>
      </c>
      <c r="B181" s="3" t="inlineStr">
        <is>
          <t>TIRAFONDO HBS 5X80</t>
        </is>
      </c>
      <c r="C181" s="3" t="inlineStr">
        <is>
          <t>General</t>
        </is>
      </c>
      <c r="D181" s="3" t="inlineStr">
        <is>
          <t>UN</t>
        </is>
      </c>
      <c r="E181" s="4">
        <f>IF(SUMIFS('By Instance'!$G:$G,'By Instance'!$E:$E,A181,'By Instance'!$C:$C,C181)=0,"",SUMIFS('By Instance'!$G:$G,'By Instance'!$E:$E,A181,'By Instance'!$C:$C,C181))</f>
        <v/>
      </c>
      <c r="F181" s="6">
        <f>IF(OR(E181="",E181=0,G181=""),"",G181/E181)</f>
        <v/>
      </c>
      <c r="G181" s="6">
        <f>IF(SUMIFS('By Instance'!$I:$I,'By Instance'!$E:$E,A181,'By Instance'!$C:$C,C181)=0,"",SUMIFS('By Instance'!$I:$I,'By Instance'!$E:$E,A181,'By Instance'!$C:$C,C181))</f>
        <v/>
      </c>
    </row>
    <row r="182">
      <c r="A182" s="2" t="inlineStr">
        <is>
          <t>FIJA0498</t>
        </is>
      </c>
      <c r="B182" s="3" t="inlineStr">
        <is>
          <t>TIRAFONDO TBS 8X250</t>
        </is>
      </c>
      <c r="C182" s="3" t="inlineStr">
        <is>
          <t>General</t>
        </is>
      </c>
      <c r="D182" s="3" t="inlineStr">
        <is>
          <t>UN</t>
        </is>
      </c>
      <c r="E182" s="4">
        <f>IF(SUMIFS('By Instance'!$G:$G,'By Instance'!$E:$E,A182,'By Instance'!$C:$C,C182)=0,"",SUMIFS('By Instance'!$G:$G,'By Instance'!$E:$E,A182,'By Instance'!$C:$C,C182))</f>
        <v/>
      </c>
      <c r="F182" s="6">
        <f>IF(OR(E182="",E182=0,G182=""),"",G182/E182)</f>
        <v/>
      </c>
      <c r="G182" s="6">
        <f>IF(SUMIFS('By Instance'!$I:$I,'By Instance'!$E:$E,A182,'By Instance'!$C:$C,C182)=0,"",SUMIFS('By Instance'!$I:$I,'By Instance'!$E:$E,A182,'By Instance'!$C:$C,C182))</f>
        <v/>
      </c>
    </row>
    <row r="183">
      <c r="A183" s="2" t="inlineStr">
        <is>
          <t>FIJA0499</t>
        </is>
      </c>
      <c r="B183" s="3" t="inlineStr">
        <is>
          <t>TORNILLO ESTRUCTURAL DOBLE ROSCA Ø 8.0 X 275MM PROTEC + T40</t>
        </is>
      </c>
      <c r="C183" s="3" t="inlineStr">
        <is>
          <t>General</t>
        </is>
      </c>
      <c r="D183" s="3" t="inlineStr">
        <is>
          <t>UN</t>
        </is>
      </c>
      <c r="E183" s="4">
        <f>IF(SUMIFS('By Instance'!$G:$G,'By Instance'!$E:$E,A183,'By Instance'!$C:$C,C183)=0,"",SUMIFS('By Instance'!$G:$G,'By Instance'!$E:$E,A183,'By Instance'!$C:$C,C183))</f>
        <v/>
      </c>
      <c r="F183" s="6">
        <f>IF(OR(E183="",E183=0,G183=""),"",G183/E183)</f>
        <v/>
      </c>
      <c r="G183" s="6">
        <f>IF(SUMIFS('By Instance'!$I:$I,'By Instance'!$E:$E,A183,'By Instance'!$C:$C,C183)=0,"",SUMIFS('By Instance'!$I:$I,'By Instance'!$E:$E,A183,'By Instance'!$C:$C,C183))</f>
        <v/>
      </c>
    </row>
    <row r="184">
      <c r="A184" s="2" t="inlineStr">
        <is>
          <t>FIJA0502</t>
        </is>
      </c>
      <c r="B184" s="3" t="inlineStr">
        <is>
          <t>CLAVO ANILL. PROFIX GALV 2.9X60MMX600X8R</t>
        </is>
      </c>
      <c r="C184" s="3" t="inlineStr">
        <is>
          <t>General</t>
        </is>
      </c>
      <c r="D184" s="3" t="inlineStr">
        <is>
          <t>CAJA</t>
        </is>
      </c>
      <c r="E184" s="4">
        <f>IF(SUMIFS('By Instance'!$G:$G,'By Instance'!$E:$E,A184,'By Instance'!$C:$C,C184)=0,"",SUMIFS('By Instance'!$G:$G,'By Instance'!$E:$E,A184,'By Instance'!$C:$C,C184))</f>
        <v/>
      </c>
      <c r="F184" s="6">
        <f>IF(OR(E184="",E184=0,G184=""),"",G184/E184)</f>
        <v/>
      </c>
      <c r="G184" s="6">
        <f>IF(SUMIFS('By Instance'!$I:$I,'By Instance'!$E:$E,A184,'By Instance'!$C:$C,C184)=0,"",SUMIFS('By Instance'!$I:$I,'By Instance'!$E:$E,A184,'By Instance'!$C:$C,C184))</f>
        <v/>
      </c>
    </row>
    <row r="185">
      <c r="A185" s="2" t="inlineStr">
        <is>
          <t>HERR0008</t>
        </is>
      </c>
      <c r="B185" s="3" t="inlineStr">
        <is>
          <t>AMARRA PLASTICA BLANCA 4,8X287MM</t>
        </is>
      </c>
      <c r="C185" s="3" t="inlineStr">
        <is>
          <t>General</t>
        </is>
      </c>
      <c r="D185" s="3" t="inlineStr">
        <is>
          <t>UN</t>
        </is>
      </c>
      <c r="E185" s="4">
        <f>IF(SUMIFS('By Instance'!$G:$G,'By Instance'!$E:$E,A185,'By Instance'!$C:$C,C185)=0,"",SUMIFS('By Instance'!$G:$G,'By Instance'!$E:$E,A185,'By Instance'!$C:$C,C185))</f>
        <v/>
      </c>
      <c r="F185" s="6">
        <f>IF(OR(E185="",E185=0,G185=""),"",G185/E185)</f>
        <v/>
      </c>
      <c r="G185" s="6">
        <f>IF(SUMIFS('By Instance'!$I:$I,'By Instance'!$E:$E,A185,'By Instance'!$C:$C,C185)=0,"",SUMIFS('By Instance'!$I:$I,'By Instance'!$E:$E,A185,'By Instance'!$C:$C,C185))</f>
        <v/>
      </c>
    </row>
    <row r="186">
      <c r="A186" s="2" t="inlineStr">
        <is>
          <t>HERR0033</t>
        </is>
      </c>
      <c r="B186" s="3" t="inlineStr">
        <is>
          <t>BROCHA 1</t>
        </is>
      </c>
      <c r="C186" s="3" t="inlineStr">
        <is>
          <t>General</t>
        </is>
      </c>
      <c r="D186" s="3" t="inlineStr">
        <is>
          <t>UN</t>
        </is>
      </c>
      <c r="E186" s="4">
        <f>IF(SUMIFS('By Instance'!$G:$G,'By Instance'!$E:$E,A186,'By Instance'!$C:$C,C186)=0,"",SUMIFS('By Instance'!$G:$G,'By Instance'!$E:$E,A186,'By Instance'!$C:$C,C186))</f>
        <v/>
      </c>
      <c r="F186" s="6">
        <f>IF(OR(E186="",E186=0,G186=""),"",G186/E186)</f>
        <v/>
      </c>
      <c r="G186" s="6">
        <f>IF(SUMIFS('By Instance'!$I:$I,'By Instance'!$E:$E,A186,'By Instance'!$C:$C,C186)=0,"",SUMIFS('By Instance'!$I:$I,'By Instance'!$E:$E,A186,'By Instance'!$C:$C,C186))</f>
        <v/>
      </c>
    </row>
    <row r="187">
      <c r="A187" s="2" t="inlineStr">
        <is>
          <t>HERR0034</t>
        </is>
      </c>
      <c r="B187" s="3" t="inlineStr">
        <is>
          <t>BROCHA 1-1/2</t>
        </is>
      </c>
      <c r="C187" s="3" t="inlineStr">
        <is>
          <t>General</t>
        </is>
      </c>
      <c r="D187" s="3" t="inlineStr">
        <is>
          <t>UN</t>
        </is>
      </c>
      <c r="E187" s="4">
        <f>IF(SUMIFS('By Instance'!$G:$G,'By Instance'!$E:$E,A187,'By Instance'!$C:$C,C187)=0,"",SUMIFS('By Instance'!$G:$G,'By Instance'!$E:$E,A187,'By Instance'!$C:$C,C187))</f>
        <v/>
      </c>
      <c r="F187" s="6">
        <f>IF(OR(E187="",E187=0,G187=""),"",G187/E187)</f>
        <v/>
      </c>
      <c r="G187" s="6">
        <f>IF(SUMIFS('By Instance'!$I:$I,'By Instance'!$E:$E,A187,'By Instance'!$C:$C,C187)=0,"",SUMIFS('By Instance'!$I:$I,'By Instance'!$E:$E,A187,'By Instance'!$C:$C,C187))</f>
        <v/>
      </c>
    </row>
    <row r="188">
      <c r="A188" s="2" t="inlineStr">
        <is>
          <t>HERR0035</t>
        </is>
      </c>
      <c r="B188" s="3" t="inlineStr">
        <is>
          <t>BROCHA 2-1/2</t>
        </is>
      </c>
      <c r="C188" s="3" t="inlineStr">
        <is>
          <t>General</t>
        </is>
      </c>
      <c r="D188" s="3" t="inlineStr">
        <is>
          <t>UN</t>
        </is>
      </c>
      <c r="E188" s="4">
        <f>IF(SUMIFS('By Instance'!$G:$G,'By Instance'!$E:$E,A188,'By Instance'!$C:$C,C188)=0,"",SUMIFS('By Instance'!$G:$G,'By Instance'!$E:$E,A188,'By Instance'!$C:$C,C188))</f>
        <v/>
      </c>
      <c r="F188" s="6">
        <f>IF(OR(E188="",E188=0,G188=""),"",G188/E188)</f>
        <v/>
      </c>
      <c r="G188" s="6">
        <f>IF(SUMIFS('By Instance'!$I:$I,'By Instance'!$E:$E,A188,'By Instance'!$C:$C,C188)=0,"",SUMIFS('By Instance'!$I:$I,'By Instance'!$E:$E,A188,'By Instance'!$C:$C,C188))</f>
        <v/>
      </c>
    </row>
    <row r="189">
      <c r="A189" s="2" t="inlineStr">
        <is>
          <t>HERR0036</t>
        </is>
      </c>
      <c r="B189" s="3" t="inlineStr">
        <is>
          <t>BROCHA 3</t>
        </is>
      </c>
      <c r="C189" s="3" t="inlineStr">
        <is>
          <t>General</t>
        </is>
      </c>
      <c r="D189" s="3" t="inlineStr">
        <is>
          <t>UN</t>
        </is>
      </c>
      <c r="E189" s="4">
        <f>IF(SUMIFS('By Instance'!$G:$G,'By Instance'!$E:$E,A189,'By Instance'!$C:$C,C189)=0,"",SUMIFS('By Instance'!$G:$G,'By Instance'!$E:$E,A189,'By Instance'!$C:$C,C189))</f>
        <v/>
      </c>
      <c r="F189" s="6">
        <f>IF(OR(E189="",E189=0,G189=""),"",G189/E189)</f>
        <v/>
      </c>
      <c r="G189" s="6">
        <f>IF(SUMIFS('By Instance'!$I:$I,'By Instance'!$E:$E,A189,'By Instance'!$C:$C,C189)=0,"",SUMIFS('By Instance'!$I:$I,'By Instance'!$E:$E,A189,'By Instance'!$C:$C,C189))</f>
        <v/>
      </c>
    </row>
    <row r="190">
      <c r="A190" s="2" t="inlineStr">
        <is>
          <t>HERR0052</t>
        </is>
      </c>
      <c r="B190" s="3" t="inlineStr">
        <is>
          <t>CINTA GALVANIZADA PERFORADA 10MTS</t>
        </is>
      </c>
      <c r="C190" s="3" t="inlineStr">
        <is>
          <t>General</t>
        </is>
      </c>
      <c r="D190" s="3" t="inlineStr">
        <is>
          <t>UN</t>
        </is>
      </c>
      <c r="E190" s="4">
        <f>IF(SUMIFS('By Instance'!$G:$G,'By Instance'!$E:$E,A190,'By Instance'!$C:$C,C190)=0,"",SUMIFS('By Instance'!$G:$G,'By Instance'!$E:$E,A190,'By Instance'!$C:$C,C190))</f>
        <v/>
      </c>
      <c r="F190" s="6">
        <f>IF(OR(E190="",E190=0,G190=""),"",G190/E190)</f>
        <v/>
      </c>
      <c r="G190" s="6">
        <f>IF(SUMIFS('By Instance'!$I:$I,'By Instance'!$E:$E,A190,'By Instance'!$C:$C,C190)=0,"",SUMIFS('By Instance'!$I:$I,'By Instance'!$E:$E,A190,'By Instance'!$C:$C,C190))</f>
        <v/>
      </c>
    </row>
    <row r="191">
      <c r="A191" s="2" t="inlineStr">
        <is>
          <t>HERR0091</t>
        </is>
      </c>
      <c r="B191" s="3" t="inlineStr">
        <is>
          <t>GRAPA PROFIX 14/50MM X 10.000 UN - SAP GS1451</t>
        </is>
      </c>
      <c r="C191" s="3" t="inlineStr">
        <is>
          <t>General</t>
        </is>
      </c>
      <c r="D191" s="3" t="inlineStr">
        <is>
          <t>CAJA</t>
        </is>
      </c>
      <c r="E191" s="4">
        <f>IF(SUMIFS('By Instance'!$G:$G,'By Instance'!$E:$E,A191,'By Instance'!$C:$C,C191)=0,"",SUMIFS('By Instance'!$G:$G,'By Instance'!$E:$E,A191,'By Instance'!$C:$C,C191))</f>
        <v/>
      </c>
      <c r="F191" s="6">
        <f>IF(OR(E191="",E191=0,G191=""),"",G191/E191)</f>
        <v/>
      </c>
      <c r="G191" s="6">
        <f>IF(SUMIFS('By Instance'!$I:$I,'By Instance'!$E:$E,A191,'By Instance'!$C:$C,C191)=0,"",SUMIFS('By Instance'!$I:$I,'By Instance'!$E:$E,A191,'By Instance'!$C:$C,C191))</f>
        <v/>
      </c>
    </row>
    <row r="192">
      <c r="A192" s="2" t="inlineStr">
        <is>
          <t>HERR0114</t>
        </is>
      </c>
      <c r="B192" s="3" t="inlineStr">
        <is>
          <t>LAPIZ BICOLOR</t>
        </is>
      </c>
      <c r="C192" s="3" t="inlineStr">
        <is>
          <t>General</t>
        </is>
      </c>
      <c r="D192" s="3" t="inlineStr">
        <is>
          <t>UN</t>
        </is>
      </c>
      <c r="E192" s="4">
        <f>IF(SUMIFS('By Instance'!$G:$G,'By Instance'!$E:$E,A192,'By Instance'!$C:$C,C192)=0,"",SUMIFS('By Instance'!$G:$G,'By Instance'!$E:$E,A192,'By Instance'!$C:$C,C192))</f>
        <v/>
      </c>
      <c r="F192" s="6">
        <f>IF(OR(E192="",E192=0,G192=""),"",G192/E192)</f>
        <v/>
      </c>
      <c r="G192" s="6">
        <f>IF(SUMIFS('By Instance'!$I:$I,'By Instance'!$E:$E,A192,'By Instance'!$C:$C,C192)=0,"",SUMIFS('By Instance'!$I:$I,'By Instance'!$E:$E,A192,'By Instance'!$C:$C,C192))</f>
        <v/>
      </c>
    </row>
    <row r="193">
      <c r="A193" s="2" t="inlineStr">
        <is>
          <t>HERR0119</t>
        </is>
      </c>
      <c r="B193" s="3" t="inlineStr">
        <is>
          <t>LIJA MADERA GR-080</t>
        </is>
      </c>
      <c r="C193" s="3" t="inlineStr">
        <is>
          <t>General</t>
        </is>
      </c>
      <c r="D193" s="3" t="inlineStr">
        <is>
          <t>UN</t>
        </is>
      </c>
      <c r="E193" s="4">
        <f>IF(SUMIFS('By Instance'!$G:$G,'By Instance'!$E:$E,A193,'By Instance'!$C:$C,C193)=0,"",SUMIFS('By Instance'!$G:$G,'By Instance'!$E:$E,A193,'By Instance'!$C:$C,C193))</f>
        <v/>
      </c>
      <c r="F193" s="6">
        <f>IF(OR(E193="",E193=0,G193=""),"",G193/E193)</f>
        <v/>
      </c>
      <c r="G193" s="6">
        <f>IF(SUMIFS('By Instance'!$I:$I,'By Instance'!$E:$E,A193,'By Instance'!$C:$C,C193)=0,"",SUMIFS('By Instance'!$I:$I,'By Instance'!$E:$E,A193,'By Instance'!$C:$C,C193))</f>
        <v/>
      </c>
    </row>
    <row r="194">
      <c r="A194" s="2" t="inlineStr">
        <is>
          <t>HERR0120</t>
        </is>
      </c>
      <c r="B194" s="3" t="inlineStr">
        <is>
          <t>LIJA MADERA GR-120</t>
        </is>
      </c>
      <c r="C194" s="3" t="inlineStr">
        <is>
          <t>General</t>
        </is>
      </c>
      <c r="D194" s="3" t="inlineStr">
        <is>
          <t>UN</t>
        </is>
      </c>
      <c r="E194" s="4">
        <f>IF(SUMIFS('By Instance'!$G:$G,'By Instance'!$E:$E,A194,'By Instance'!$C:$C,C194)=0,"",SUMIFS('By Instance'!$G:$G,'By Instance'!$E:$E,A194,'By Instance'!$C:$C,C194))</f>
        <v/>
      </c>
      <c r="F194" s="6">
        <f>IF(OR(E194="",E194=0,G194=""),"",G194/E194)</f>
        <v/>
      </c>
      <c r="G194" s="6">
        <f>IF(SUMIFS('By Instance'!$I:$I,'By Instance'!$E:$E,A194,'By Instance'!$C:$C,C194)=0,"",SUMIFS('By Instance'!$I:$I,'By Instance'!$E:$E,A194,'By Instance'!$C:$C,C194))</f>
        <v/>
      </c>
    </row>
    <row r="195">
      <c r="A195" s="2" t="inlineStr">
        <is>
          <t>HERR0121</t>
        </is>
      </c>
      <c r="B195" s="3" t="inlineStr">
        <is>
          <t>LIJA MADERA GR-180</t>
        </is>
      </c>
      <c r="C195" s="3" t="inlineStr">
        <is>
          <t>General</t>
        </is>
      </c>
      <c r="D195" s="3" t="inlineStr">
        <is>
          <t>UN</t>
        </is>
      </c>
      <c r="E195" s="4">
        <f>IF(SUMIFS('By Instance'!$G:$G,'By Instance'!$E:$E,A195,'By Instance'!$C:$C,C195)=0,"",SUMIFS('By Instance'!$G:$G,'By Instance'!$E:$E,A195,'By Instance'!$C:$C,C195))</f>
        <v/>
      </c>
      <c r="F195" s="6">
        <f>IF(OR(E195="",E195=0,G195=""),"",G195/E195)</f>
        <v/>
      </c>
      <c r="G195" s="6">
        <f>IF(SUMIFS('By Instance'!$I:$I,'By Instance'!$E:$E,A195,'By Instance'!$C:$C,C195)=0,"",SUMIFS('By Instance'!$I:$I,'By Instance'!$E:$E,A195,'By Instance'!$C:$C,C195))</f>
        <v/>
      </c>
    </row>
    <row r="196">
      <c r="A196" s="2" t="inlineStr">
        <is>
          <t>HERR0127</t>
        </is>
      </c>
      <c r="B196" s="3" t="inlineStr">
        <is>
          <t>LIJA ORBITAL P-060</t>
        </is>
      </c>
      <c r="C196" s="3" t="inlineStr">
        <is>
          <t>General</t>
        </is>
      </c>
      <c r="D196" s="3" t="inlineStr">
        <is>
          <t>UN</t>
        </is>
      </c>
      <c r="E196" s="4">
        <f>IF(SUMIFS('By Instance'!$G:$G,'By Instance'!$E:$E,A196,'By Instance'!$C:$C,C196)=0,"",SUMIFS('By Instance'!$G:$G,'By Instance'!$E:$E,A196,'By Instance'!$C:$C,C196))</f>
        <v/>
      </c>
      <c r="F196" s="6">
        <f>IF(OR(E196="",E196=0,G196=""),"",G196/E196)</f>
        <v/>
      </c>
      <c r="G196" s="6">
        <f>IF(SUMIFS('By Instance'!$I:$I,'By Instance'!$E:$E,A196,'By Instance'!$C:$C,C196)=0,"",SUMIFS('By Instance'!$I:$I,'By Instance'!$E:$E,A196,'By Instance'!$C:$C,C196))</f>
        <v/>
      </c>
    </row>
    <row r="197">
      <c r="A197" s="2" t="inlineStr">
        <is>
          <t>HERR0128</t>
        </is>
      </c>
      <c r="B197" s="3" t="inlineStr">
        <is>
          <t>LIJA ORBITAL P-080</t>
        </is>
      </c>
      <c r="C197" s="3" t="inlineStr">
        <is>
          <t>General</t>
        </is>
      </c>
      <c r="D197" s="3" t="inlineStr">
        <is>
          <t>UN</t>
        </is>
      </c>
      <c r="E197" s="4">
        <f>IF(SUMIFS('By Instance'!$G:$G,'By Instance'!$E:$E,A197,'By Instance'!$C:$C,C197)=0,"",SUMIFS('By Instance'!$G:$G,'By Instance'!$E:$E,A197,'By Instance'!$C:$C,C197))</f>
        <v/>
      </c>
      <c r="F197" s="6">
        <f>IF(OR(E197="",E197=0,G197=""),"",G197/E197)</f>
        <v/>
      </c>
      <c r="G197" s="6">
        <f>IF(SUMIFS('By Instance'!$I:$I,'By Instance'!$E:$E,A197,'By Instance'!$C:$C,C197)=0,"",SUMIFS('By Instance'!$I:$I,'By Instance'!$E:$E,A197,'By Instance'!$C:$C,C197))</f>
        <v/>
      </c>
    </row>
    <row r="198">
      <c r="A198" s="2" t="inlineStr">
        <is>
          <t>HERR0130</t>
        </is>
      </c>
      <c r="B198" s="3" t="inlineStr">
        <is>
          <t>LIJA ORBITAL P-120</t>
        </is>
      </c>
      <c r="C198" s="3" t="inlineStr">
        <is>
          <t>General</t>
        </is>
      </c>
      <c r="D198" s="3" t="inlineStr">
        <is>
          <t>UN</t>
        </is>
      </c>
      <c r="E198" s="4">
        <f>IF(SUMIFS('By Instance'!$G:$G,'By Instance'!$E:$E,A198,'By Instance'!$C:$C,C198)=0,"",SUMIFS('By Instance'!$G:$G,'By Instance'!$E:$E,A198,'By Instance'!$C:$C,C198))</f>
        <v/>
      </c>
      <c r="F198" s="6">
        <f>IF(OR(E198="",E198=0,G198=""),"",G198/E198)</f>
        <v/>
      </c>
      <c r="G198" s="6">
        <f>IF(SUMIFS('By Instance'!$I:$I,'By Instance'!$E:$E,A198,'By Instance'!$C:$C,C198)=0,"",SUMIFS('By Instance'!$I:$I,'By Instance'!$E:$E,A198,'By Instance'!$C:$C,C198))</f>
        <v/>
      </c>
    </row>
    <row r="199">
      <c r="A199" s="2" t="inlineStr">
        <is>
          <t>HERR0132</t>
        </is>
      </c>
      <c r="B199" s="3" t="inlineStr">
        <is>
          <t>LIJA ORBITAL P-180</t>
        </is>
      </c>
      <c r="C199" s="3" t="inlineStr">
        <is>
          <t>General</t>
        </is>
      </c>
      <c r="D199" s="3" t="inlineStr">
        <is>
          <t>UN</t>
        </is>
      </c>
      <c r="E199" s="4">
        <f>IF(SUMIFS('By Instance'!$G:$G,'By Instance'!$E:$E,A199,'By Instance'!$C:$C,C199)=0,"",SUMIFS('By Instance'!$G:$G,'By Instance'!$E:$E,A199,'By Instance'!$C:$C,C199))</f>
        <v/>
      </c>
      <c r="F199" s="6">
        <f>IF(OR(E199="",E199=0,G199=""),"",G199/E199)</f>
        <v/>
      </c>
      <c r="G199" s="6">
        <f>IF(SUMIFS('By Instance'!$I:$I,'By Instance'!$E:$E,A199,'By Instance'!$C:$C,C199)=0,"",SUMIFS('By Instance'!$I:$I,'By Instance'!$E:$E,A199,'By Instance'!$C:$C,C199))</f>
        <v/>
      </c>
    </row>
    <row r="200">
      <c r="A200" s="2" t="inlineStr">
        <is>
          <t>HERR0184</t>
        </is>
      </c>
      <c r="B200" s="3" t="inlineStr">
        <is>
          <t>PUNTA THOR T-25</t>
        </is>
      </c>
      <c r="C200" s="3" t="inlineStr">
        <is>
          <t>General</t>
        </is>
      </c>
      <c r="D200" s="3" t="inlineStr">
        <is>
          <t>UN</t>
        </is>
      </c>
      <c r="E200" s="4">
        <f>IF(SUMIFS('By Instance'!$G:$G,'By Instance'!$E:$E,A200,'By Instance'!$C:$C,C200)=0,"",SUMIFS('By Instance'!$G:$G,'By Instance'!$E:$E,A200,'By Instance'!$C:$C,C200))</f>
        <v/>
      </c>
      <c r="F200" s="6">
        <f>IF(OR(E200="",E200=0,G200=""),"",G200/E200)</f>
        <v/>
      </c>
      <c r="G200" s="6">
        <f>IF(SUMIFS('By Instance'!$I:$I,'By Instance'!$E:$E,A200,'By Instance'!$C:$C,C200)=0,"",SUMIFS('By Instance'!$I:$I,'By Instance'!$E:$E,A200,'By Instance'!$C:$C,C200))</f>
        <v/>
      </c>
    </row>
    <row r="201">
      <c r="A201" s="2" t="inlineStr">
        <is>
          <t>HERR0185</t>
        </is>
      </c>
      <c r="B201" s="3" t="inlineStr">
        <is>
          <t>PUNTA THOR TX-20</t>
        </is>
      </c>
      <c r="C201" s="3" t="inlineStr">
        <is>
          <t>General</t>
        </is>
      </c>
      <c r="D201" s="3" t="inlineStr">
        <is>
          <t>UN</t>
        </is>
      </c>
      <c r="E201" s="4">
        <f>IF(SUMIFS('By Instance'!$G:$G,'By Instance'!$E:$E,A201,'By Instance'!$C:$C,C201)=0,"",SUMIFS('By Instance'!$G:$G,'By Instance'!$E:$E,A201,'By Instance'!$C:$C,C201))</f>
        <v/>
      </c>
      <c r="F201" s="6">
        <f>IF(OR(E201="",E201=0,G201=""),"",G201/E201)</f>
        <v/>
      </c>
      <c r="G201" s="6">
        <f>IF(SUMIFS('By Instance'!$I:$I,'By Instance'!$E:$E,A201,'By Instance'!$C:$C,C201)=0,"",SUMIFS('By Instance'!$I:$I,'By Instance'!$E:$E,A201,'By Instance'!$C:$C,C201))</f>
        <v/>
      </c>
    </row>
    <row r="202">
      <c r="A202" s="2" t="inlineStr">
        <is>
          <t>HERR0186</t>
        </is>
      </c>
      <c r="B202" s="3" t="inlineStr">
        <is>
          <t>PUNTA THOR TX-30</t>
        </is>
      </c>
      <c r="C202" s="3" t="inlineStr">
        <is>
          <t>General</t>
        </is>
      </c>
      <c r="D202" s="3" t="inlineStr">
        <is>
          <t>UN</t>
        </is>
      </c>
      <c r="E202" s="4">
        <f>IF(SUMIFS('By Instance'!$G:$G,'By Instance'!$E:$E,A202,'By Instance'!$C:$C,C202)=0,"",SUMIFS('By Instance'!$G:$G,'By Instance'!$E:$E,A202,'By Instance'!$C:$C,C202))</f>
        <v/>
      </c>
      <c r="F202" s="6">
        <f>IF(OR(E202="",E202=0,G202=""),"",G202/E202)</f>
        <v/>
      </c>
      <c r="G202" s="6">
        <f>IF(SUMIFS('By Instance'!$I:$I,'By Instance'!$E:$E,A202,'By Instance'!$C:$C,C202)=0,"",SUMIFS('By Instance'!$I:$I,'By Instance'!$E:$E,A202,'By Instance'!$C:$C,C202))</f>
        <v/>
      </c>
    </row>
    <row r="203">
      <c r="A203" s="2" t="inlineStr">
        <is>
          <t>HERR0187</t>
        </is>
      </c>
      <c r="B203" s="3" t="inlineStr">
        <is>
          <t>PUNTA THOR TX-40</t>
        </is>
      </c>
      <c r="C203" s="3" t="inlineStr">
        <is>
          <t>General</t>
        </is>
      </c>
      <c r="D203" s="3" t="inlineStr">
        <is>
          <t>UN</t>
        </is>
      </c>
      <c r="E203" s="4">
        <f>IF(SUMIFS('By Instance'!$G:$G,'By Instance'!$E:$E,A203,'By Instance'!$C:$C,C203)=0,"",SUMIFS('By Instance'!$G:$G,'By Instance'!$E:$E,A203,'By Instance'!$C:$C,C203))</f>
        <v/>
      </c>
      <c r="F203" s="6">
        <f>IF(OR(E203="",E203=0,G203=""),"",G203/E203)</f>
        <v/>
      </c>
      <c r="G203" s="6">
        <f>IF(SUMIFS('By Instance'!$I:$I,'By Instance'!$E:$E,A203,'By Instance'!$C:$C,C203)=0,"",SUMIFS('By Instance'!$I:$I,'By Instance'!$E:$E,A203,'By Instance'!$C:$C,C203))</f>
        <v/>
      </c>
    </row>
    <row r="204">
      <c r="A204" s="2" t="inlineStr">
        <is>
          <t>HERR0224</t>
        </is>
      </c>
      <c r="B204" s="3" t="inlineStr">
        <is>
          <t>SOLDADURA ROLLO 50% ESTAÑO</t>
        </is>
      </c>
      <c r="C204" s="3" t="inlineStr">
        <is>
          <t>General</t>
        </is>
      </c>
      <c r="D204" s="3" t="inlineStr">
        <is>
          <t>UN</t>
        </is>
      </c>
      <c r="E204" s="4">
        <f>IF(SUMIFS('By Instance'!$G:$G,'By Instance'!$E:$E,A204,'By Instance'!$C:$C,C204)=0,"",SUMIFS('By Instance'!$G:$G,'By Instance'!$E:$E,A204,'By Instance'!$C:$C,C204))</f>
        <v/>
      </c>
      <c r="F204" s="6">
        <f>IF(OR(E204="",E204=0,G204=""),"",G204/E204)</f>
        <v/>
      </c>
      <c r="G204" s="6">
        <f>IF(SUMIFS('By Instance'!$I:$I,'By Instance'!$E:$E,A204,'By Instance'!$C:$C,C204)=0,"",SUMIFS('By Instance'!$I:$I,'By Instance'!$E:$E,A204,'By Instance'!$C:$C,C204))</f>
        <v/>
      </c>
    </row>
    <row r="205">
      <c r="A205" s="2" t="inlineStr">
        <is>
          <t>HERR0255</t>
        </is>
      </c>
      <c r="B205" s="3" t="inlineStr">
        <is>
          <t>BROCHA 2</t>
        </is>
      </c>
      <c r="C205" s="3" t="inlineStr">
        <is>
          <t>General</t>
        </is>
      </c>
      <c r="D205" s="3" t="inlineStr">
        <is>
          <t>UN</t>
        </is>
      </c>
      <c r="E205" s="4">
        <f>IF(SUMIFS('By Instance'!$G:$G,'By Instance'!$E:$E,A205,'By Instance'!$C:$C,C205)=0,"",SUMIFS('By Instance'!$G:$G,'By Instance'!$E:$E,A205,'By Instance'!$C:$C,C205))</f>
        <v/>
      </c>
      <c r="F205" s="6">
        <f>IF(OR(E205="",E205=0,G205=""),"",G205/E205)</f>
        <v/>
      </c>
      <c r="G205" s="6">
        <f>IF(SUMIFS('By Instance'!$I:$I,'By Instance'!$E:$E,A205,'By Instance'!$C:$C,C205)=0,"",SUMIFS('By Instance'!$I:$I,'By Instance'!$E:$E,A205,'By Instance'!$C:$C,C205))</f>
        <v/>
      </c>
    </row>
    <row r="206">
      <c r="A206" s="2" t="inlineStr">
        <is>
          <t>HERR0256</t>
        </is>
      </c>
      <c r="B206" s="3" t="inlineStr">
        <is>
          <t>BROCHA 4</t>
        </is>
      </c>
      <c r="C206" s="3" t="inlineStr">
        <is>
          <t>General</t>
        </is>
      </c>
      <c r="D206" s="3" t="inlineStr">
        <is>
          <t>UN</t>
        </is>
      </c>
      <c r="E206" s="4">
        <f>IF(SUMIFS('By Instance'!$G:$G,'By Instance'!$E:$E,A206,'By Instance'!$C:$C,C206)=0,"",SUMIFS('By Instance'!$G:$G,'By Instance'!$E:$E,A206,'By Instance'!$C:$C,C206))</f>
        <v/>
      </c>
      <c r="F206" s="6">
        <f>IF(OR(E206="",E206=0,G206=""),"",G206/E206)</f>
        <v/>
      </c>
      <c r="G206" s="6">
        <f>IF(SUMIFS('By Instance'!$I:$I,'By Instance'!$E:$E,A206,'By Instance'!$C:$C,C206)=0,"",SUMIFS('By Instance'!$I:$I,'By Instance'!$E:$E,A206,'By Instance'!$C:$C,C206))</f>
        <v/>
      </c>
    </row>
    <row r="207">
      <c r="A207" s="2" t="inlineStr">
        <is>
          <t>HERR0285</t>
        </is>
      </c>
      <c r="B207" s="3" t="inlineStr">
        <is>
          <t>LIJA ORBITAL P-100</t>
        </is>
      </c>
      <c r="C207" s="3" t="inlineStr">
        <is>
          <t>General</t>
        </is>
      </c>
      <c r="D207" s="3" t="inlineStr">
        <is>
          <t>UN</t>
        </is>
      </c>
      <c r="E207" s="4">
        <f>IF(SUMIFS('By Instance'!$G:$G,'By Instance'!$E:$E,A207,'By Instance'!$C:$C,C207)=0,"",SUMIFS('By Instance'!$G:$G,'By Instance'!$E:$E,A207,'By Instance'!$C:$C,C207))</f>
        <v/>
      </c>
      <c r="F207" s="6">
        <f>IF(OR(E207="",E207=0,G207=""),"",G207/E207)</f>
        <v/>
      </c>
      <c r="G207" s="6">
        <f>IF(SUMIFS('By Instance'!$I:$I,'By Instance'!$E:$E,A207,'By Instance'!$C:$C,C207)=0,"",SUMIFS('By Instance'!$I:$I,'By Instance'!$E:$E,A207,'By Instance'!$C:$C,C207))</f>
        <v/>
      </c>
    </row>
    <row r="208">
      <c r="A208" s="2" t="inlineStr">
        <is>
          <t>HERR0290</t>
        </is>
      </c>
      <c r="B208" s="3" t="inlineStr">
        <is>
          <t>PUNTA PHILLIPS PUNTA CRUZ</t>
        </is>
      </c>
      <c r="C208" s="3" t="inlineStr">
        <is>
          <t>General</t>
        </is>
      </c>
      <c r="D208" s="3" t="inlineStr">
        <is>
          <t>UN</t>
        </is>
      </c>
      <c r="E208" s="4">
        <f>IF(SUMIFS('By Instance'!$G:$G,'By Instance'!$E:$E,A208,'By Instance'!$C:$C,C208)=0,"",SUMIFS('By Instance'!$G:$G,'By Instance'!$E:$E,A208,'By Instance'!$C:$C,C208))</f>
        <v/>
      </c>
      <c r="F208" s="6">
        <f>IF(OR(E208="",E208=0,G208=""),"",G208/E208)</f>
        <v/>
      </c>
      <c r="G208" s="6">
        <f>IF(SUMIFS('By Instance'!$I:$I,'By Instance'!$E:$E,A208,'By Instance'!$C:$C,C208)=0,"",SUMIFS('By Instance'!$I:$I,'By Instance'!$E:$E,A208,'By Instance'!$C:$C,C208))</f>
        <v/>
      </c>
    </row>
    <row r="209">
      <c r="A209" s="2" t="inlineStr">
        <is>
          <t>HERR0316</t>
        </is>
      </c>
      <c r="B209" s="3" t="inlineStr">
        <is>
          <t>LAPIZ CARPINTERO</t>
        </is>
      </c>
      <c r="C209" s="3" t="inlineStr">
        <is>
          <t>General</t>
        </is>
      </c>
      <c r="D209" s="3" t="inlineStr">
        <is>
          <t>UN</t>
        </is>
      </c>
      <c r="E209" s="4">
        <f>IF(SUMIFS('By Instance'!$G:$G,'By Instance'!$E:$E,A209,'By Instance'!$C:$C,C209)=0,"",SUMIFS('By Instance'!$G:$G,'By Instance'!$E:$E,A209,'By Instance'!$C:$C,C209))</f>
        <v/>
      </c>
      <c r="F209" s="6">
        <f>IF(OR(E209="",E209=0,G209=""),"",G209/E209)</f>
        <v/>
      </c>
      <c r="G209" s="6">
        <f>IF(SUMIFS('By Instance'!$I:$I,'By Instance'!$E:$E,A209,'By Instance'!$C:$C,C209)=0,"",SUMIFS('By Instance'!$I:$I,'By Instance'!$E:$E,A209,'By Instance'!$C:$C,C209))</f>
        <v/>
      </c>
    </row>
    <row r="210">
      <c r="A210" s="2" t="inlineStr">
        <is>
          <t>HERR0374</t>
        </is>
      </c>
      <c r="B210" s="3" t="inlineStr">
        <is>
          <t>RODILLO CHIPORRO 18 cm MANGO ROJO</t>
        </is>
      </c>
      <c r="C210" s="3" t="inlineStr">
        <is>
          <t>General</t>
        </is>
      </c>
      <c r="D210" s="3" t="inlineStr">
        <is>
          <t>UN</t>
        </is>
      </c>
      <c r="E210" s="4">
        <f>IF(SUMIFS('By Instance'!$G:$G,'By Instance'!$E:$E,A210,'By Instance'!$C:$C,C210)=0,"",SUMIFS('By Instance'!$G:$G,'By Instance'!$E:$E,A210,'By Instance'!$C:$C,C210))</f>
        <v/>
      </c>
      <c r="F210" s="6">
        <f>IF(OR(E210="",E210=0,G210=""),"",G210/E210)</f>
        <v/>
      </c>
      <c r="G210" s="6">
        <f>IF(SUMIFS('By Instance'!$I:$I,'By Instance'!$E:$E,A210,'By Instance'!$C:$C,C210)=0,"",SUMIFS('By Instance'!$I:$I,'By Instance'!$E:$E,A210,'By Instance'!$C:$C,C210))</f>
        <v/>
      </c>
    </row>
    <row r="211">
      <c r="A211" s="2" t="inlineStr">
        <is>
          <t>HERR0379</t>
        </is>
      </c>
      <c r="B211" s="3" t="inlineStr">
        <is>
          <t>PASTA SOLDAR LATA 250 GRS</t>
        </is>
      </c>
      <c r="C211" s="3" t="inlineStr">
        <is>
          <t>General</t>
        </is>
      </c>
      <c r="D211" s="3" t="inlineStr">
        <is>
          <t>UN</t>
        </is>
      </c>
      <c r="E211" s="4">
        <f>IF(SUMIFS('By Instance'!$G:$G,'By Instance'!$E:$E,A211,'By Instance'!$C:$C,C211)=0,"",SUMIFS('By Instance'!$G:$G,'By Instance'!$E:$E,A211,'By Instance'!$C:$C,C211))</f>
        <v/>
      </c>
      <c r="F211" s="6">
        <f>IF(OR(E211="",E211=0,G211=""),"",G211/E211)</f>
        <v/>
      </c>
      <c r="G211" s="6">
        <f>IF(SUMIFS('By Instance'!$I:$I,'By Instance'!$E:$E,A211,'By Instance'!$C:$C,C211)=0,"",SUMIFS('By Instance'!$I:$I,'By Instance'!$E:$E,A211,'By Instance'!$C:$C,C211))</f>
        <v/>
      </c>
    </row>
    <row r="212">
      <c r="A212" s="2" t="inlineStr">
        <is>
          <t>HERR0570</t>
        </is>
      </c>
      <c r="B212" s="3" t="inlineStr">
        <is>
          <t>HOJA SIERRA BIMETALICA 1/2 x 12 in 24 DIENTES</t>
        </is>
      </c>
      <c r="C212" s="3" t="inlineStr">
        <is>
          <t>General</t>
        </is>
      </c>
      <c r="D212" s="3" t="inlineStr">
        <is>
          <t>UN</t>
        </is>
      </c>
      <c r="E212" s="4">
        <f>IF(SUMIFS('By Instance'!$G:$G,'By Instance'!$E:$E,A212,'By Instance'!$C:$C,C212)=0,"",SUMIFS('By Instance'!$G:$G,'By Instance'!$E:$E,A212,'By Instance'!$C:$C,C212))</f>
        <v/>
      </c>
      <c r="F212" s="6">
        <f>IF(OR(E212="",E212=0,G212=""),"",G212/E212)</f>
        <v/>
      </c>
      <c r="G212" s="6">
        <f>IF(SUMIFS('By Instance'!$I:$I,'By Instance'!$E:$E,A212,'By Instance'!$C:$C,C212)=0,"",SUMIFS('By Instance'!$I:$I,'By Instance'!$E:$E,A212,'By Instance'!$C:$C,C212))</f>
        <v/>
      </c>
    </row>
    <row r="213">
      <c r="A213" s="2" t="inlineStr">
        <is>
          <t>HERR0603</t>
        </is>
      </c>
      <c r="B213" s="3" t="inlineStr">
        <is>
          <t>ENDURECEDOR P/MASILLA 28gr</t>
        </is>
      </c>
      <c r="C213" s="3" t="inlineStr">
        <is>
          <t>General</t>
        </is>
      </c>
      <c r="D213" s="3" t="inlineStr">
        <is>
          <t>UN</t>
        </is>
      </c>
      <c r="E213" s="4">
        <f>IF(SUMIFS('By Instance'!$G:$G,'By Instance'!$E:$E,A213,'By Instance'!$C:$C,C213)=0,"",SUMIFS('By Instance'!$G:$G,'By Instance'!$E:$E,A213,'By Instance'!$C:$C,C213))</f>
        <v/>
      </c>
      <c r="F213" s="6">
        <f>IF(OR(E213="",E213=0,G213=""),"",G213/E213)</f>
        <v/>
      </c>
      <c r="G213" s="6">
        <f>IF(SUMIFS('By Instance'!$I:$I,'By Instance'!$E:$E,A213,'By Instance'!$C:$C,C213)=0,"",SUMIFS('By Instance'!$I:$I,'By Instance'!$E:$E,A213,'By Instance'!$C:$C,C213))</f>
        <v/>
      </c>
    </row>
    <row r="214">
      <c r="A214" s="2" t="inlineStr">
        <is>
          <t>HERR0632</t>
        </is>
      </c>
      <c r="B214" s="3" t="inlineStr">
        <is>
          <t>DILUYENTE DUCO 1LT</t>
        </is>
      </c>
      <c r="C214" s="3" t="inlineStr">
        <is>
          <t>General</t>
        </is>
      </c>
      <c r="D214" s="3" t="inlineStr">
        <is>
          <t>UN</t>
        </is>
      </c>
      <c r="E214" s="4">
        <f>IF(SUMIFS('By Instance'!$G:$G,'By Instance'!$E:$E,A214,'By Instance'!$C:$C,C214)=0,"",SUMIFS('By Instance'!$G:$G,'By Instance'!$E:$E,A214,'By Instance'!$C:$C,C214))</f>
        <v/>
      </c>
      <c r="F214" s="6">
        <f>IF(OR(E214="",E214=0,G214=""),"",G214/E214)</f>
        <v/>
      </c>
      <c r="G214" s="6">
        <f>IF(SUMIFS('By Instance'!$I:$I,'By Instance'!$E:$E,A214,'By Instance'!$C:$C,C214)=0,"",SUMIFS('By Instance'!$I:$I,'By Instance'!$E:$E,A214,'By Instance'!$C:$C,C214))</f>
        <v/>
      </c>
    </row>
    <row r="215">
      <c r="A215" s="2" t="inlineStr">
        <is>
          <t>HERR0636</t>
        </is>
      </c>
      <c r="B215" s="3" t="inlineStr">
        <is>
          <t>RODILLO HELA CORTAGOTA 18CM PELO 15MM</t>
        </is>
      </c>
      <c r="C215" s="3" t="inlineStr">
        <is>
          <t>General</t>
        </is>
      </c>
      <c r="D215" s="3" t="inlineStr">
        <is>
          <t>UN</t>
        </is>
      </c>
      <c r="E215" s="4">
        <f>IF(SUMIFS('By Instance'!$G:$G,'By Instance'!$E:$E,A215,'By Instance'!$C:$C,C215)=0,"",SUMIFS('By Instance'!$G:$G,'By Instance'!$E:$E,A215,'By Instance'!$C:$C,C215))</f>
        <v/>
      </c>
      <c r="F215" s="6">
        <f>IF(OR(E215="",E215=0,G215=""),"",G215/E215)</f>
        <v/>
      </c>
      <c r="G215" s="6">
        <f>IF(SUMIFS('By Instance'!$I:$I,'By Instance'!$E:$E,A215,'By Instance'!$C:$C,C215)=0,"",SUMIFS('By Instance'!$I:$I,'By Instance'!$E:$E,A215,'By Instance'!$C:$C,C215))</f>
        <v/>
      </c>
    </row>
    <row r="216">
      <c r="A216" s="2" t="inlineStr">
        <is>
          <t>HERR0638</t>
        </is>
      </c>
      <c r="B216" s="3" t="inlineStr">
        <is>
          <t>MASILLA MAGICA LIVIANA 700ML</t>
        </is>
      </c>
      <c r="C216" s="3" t="inlineStr">
        <is>
          <t>General</t>
        </is>
      </c>
      <c r="D216" s="3" t="inlineStr">
        <is>
          <t>UN</t>
        </is>
      </c>
      <c r="E216" s="4">
        <f>IF(SUMIFS('By Instance'!$G:$G,'By Instance'!$E:$E,A216,'By Instance'!$C:$C,C216)=0,"",SUMIFS('By Instance'!$G:$G,'By Instance'!$E:$E,A216,'By Instance'!$C:$C,C216))</f>
        <v/>
      </c>
      <c r="F216" s="6">
        <f>IF(OR(E216="",E216=0,G216=""),"",G216/E216)</f>
        <v/>
      </c>
      <c r="G216" s="6">
        <f>IF(SUMIFS('By Instance'!$I:$I,'By Instance'!$E:$E,A216,'By Instance'!$C:$C,C216)=0,"",SUMIFS('By Instance'!$I:$I,'By Instance'!$E:$E,A216,'By Instance'!$C:$C,C216))</f>
        <v/>
      </c>
    </row>
    <row r="217">
      <c r="A217" s="2" t="inlineStr">
        <is>
          <t>HERR0712</t>
        </is>
      </c>
      <c r="B217" s="3" t="inlineStr">
        <is>
          <t>PAÑO LIMPIEZA BLANCO</t>
        </is>
      </c>
      <c r="C217" s="3" t="inlineStr">
        <is>
          <t>General</t>
        </is>
      </c>
      <c r="D217" s="3" t="inlineStr">
        <is>
          <t>KG</t>
        </is>
      </c>
      <c r="E217" s="4">
        <f>IF(SUMIFS('By Instance'!$G:$G,'By Instance'!$E:$E,A217,'By Instance'!$C:$C,C217)=0,"",SUMIFS('By Instance'!$G:$G,'By Instance'!$E:$E,A217,'By Instance'!$C:$C,C217))</f>
        <v/>
      </c>
      <c r="F217" s="6">
        <f>IF(OR(E217="",E217=0,G217=""),"",G217/E217)</f>
        <v/>
      </c>
      <c r="G217" s="6">
        <f>IF(SUMIFS('By Instance'!$I:$I,'By Instance'!$E:$E,A217,'By Instance'!$C:$C,C217)=0,"",SUMIFS('By Instance'!$I:$I,'By Instance'!$E:$E,A217,'By Instance'!$C:$C,C217))</f>
        <v/>
      </c>
    </row>
    <row r="218">
      <c r="A218" s="2" t="inlineStr">
        <is>
          <t>HERR0749</t>
        </is>
      </c>
      <c r="B218" s="3" t="inlineStr">
        <is>
          <t>HOJA DE SIERRA</t>
        </is>
      </c>
      <c r="C218" s="3" t="inlineStr">
        <is>
          <t>General</t>
        </is>
      </c>
      <c r="D218" s="3" t="inlineStr">
        <is>
          <t>UN</t>
        </is>
      </c>
      <c r="E218" s="4">
        <f>IF(SUMIFS('By Instance'!$G:$G,'By Instance'!$E:$E,A218,'By Instance'!$C:$C,C218)=0,"",SUMIFS('By Instance'!$G:$G,'By Instance'!$E:$E,A218,'By Instance'!$C:$C,C218))</f>
        <v/>
      </c>
      <c r="F218" s="6">
        <f>IF(OR(E218="",E218=0,G218=""),"",G218/E218)</f>
        <v/>
      </c>
      <c r="G218" s="6">
        <f>IF(SUMIFS('By Instance'!$I:$I,'By Instance'!$E:$E,A218,'By Instance'!$C:$C,C218)=0,"",SUMIFS('By Instance'!$I:$I,'By Instance'!$E:$E,A218,'By Instance'!$C:$C,C218))</f>
        <v/>
      </c>
    </row>
    <row r="219">
      <c r="A219" s="2" t="inlineStr">
        <is>
          <t>HERR0759</t>
        </is>
      </c>
      <c r="B219" s="3" t="inlineStr">
        <is>
          <t>PAPEL KRAFT 135 GR - 1.60 ANCHO 6000</t>
        </is>
      </c>
      <c r="C219" s="3" t="inlineStr">
        <is>
          <t>General</t>
        </is>
      </c>
      <c r="D219" s="3" t="inlineStr">
        <is>
          <t>ML</t>
        </is>
      </c>
      <c r="E219" s="4">
        <f>IF(SUMIFS('By Instance'!$G:$G,'By Instance'!$E:$E,A219,'By Instance'!$C:$C,C219)=0,"",SUMIFS('By Instance'!$G:$G,'By Instance'!$E:$E,A219,'By Instance'!$C:$C,C219))</f>
        <v/>
      </c>
      <c r="F219" s="6">
        <f>IF(OR(E219="",E219=0,G219=""),"",G219/E219)</f>
        <v/>
      </c>
      <c r="G219" s="6">
        <f>IF(SUMIFS('By Instance'!$I:$I,'By Instance'!$E:$E,A219,'By Instance'!$C:$C,C219)=0,"",SUMIFS('By Instance'!$I:$I,'By Instance'!$E:$E,A219,'By Instance'!$C:$C,C219))</f>
        <v/>
      </c>
    </row>
    <row r="220">
      <c r="A220" s="2" t="inlineStr">
        <is>
          <t>HOJL0009</t>
        </is>
      </c>
      <c r="B220" s="3" t="inlineStr">
        <is>
          <t>PLANCHA LISA PREPINTADA NEGRA 0.5MM  1,219 x 4,200</t>
        </is>
      </c>
      <c r="C220" s="3" t="inlineStr">
        <is>
          <t>General</t>
        </is>
      </c>
      <c r="D220" s="3" t="inlineStr">
        <is>
          <t>UN</t>
        </is>
      </c>
      <c r="E220" s="4">
        <f>IF(SUMIFS('By Instance'!$G:$G,'By Instance'!$E:$E,A220,'By Instance'!$C:$C,C220)=0,"",SUMIFS('By Instance'!$G:$G,'By Instance'!$E:$E,A220,'By Instance'!$C:$C,C220))</f>
        <v/>
      </c>
      <c r="F220" s="6">
        <f>IF(OR(E220="",E220=0,G220=""),"",G220/E220)</f>
        <v/>
      </c>
      <c r="G220" s="6">
        <f>IF(SUMIFS('By Instance'!$I:$I,'By Instance'!$E:$E,A220,'By Instance'!$C:$C,C220)=0,"",SUMIFS('By Instance'!$I:$I,'By Instance'!$E:$E,A220,'By Instance'!$C:$C,C220))</f>
        <v/>
      </c>
    </row>
    <row r="221">
      <c r="A221" s="2" t="inlineStr">
        <is>
          <t>HOJL0012</t>
        </is>
      </c>
      <c r="B221" s="3" t="inlineStr">
        <is>
          <t>CLIP FIJACION PANEL CN-2</t>
        </is>
      </c>
      <c r="C221" s="3" t="inlineStr">
        <is>
          <t>General</t>
        </is>
      </c>
      <c r="D221" s="3" t="inlineStr">
        <is>
          <t>UN</t>
        </is>
      </c>
      <c r="E221" s="4">
        <f>IF(SUMIFS('By Instance'!$G:$G,'By Instance'!$E:$E,A221,'By Instance'!$C:$C,C221)=0,"",SUMIFS('By Instance'!$G:$G,'By Instance'!$E:$E,A221,'By Instance'!$C:$C,C221))</f>
        <v/>
      </c>
      <c r="F221" s="6">
        <f>IF(OR(E221="",E221=0,G221=""),"",G221/E221)</f>
        <v/>
      </c>
      <c r="G221" s="6">
        <f>IF(SUMIFS('By Instance'!$I:$I,'By Instance'!$E:$E,A221,'By Instance'!$C:$C,C221)=0,"",SUMIFS('By Instance'!$I:$I,'By Instance'!$E:$E,A221,'By Instance'!$C:$C,C221))</f>
        <v/>
      </c>
    </row>
    <row r="222">
      <c r="A222" s="2" t="inlineStr">
        <is>
          <t>IMPE0005</t>
        </is>
      </c>
      <c r="B222" s="3" t="inlineStr">
        <is>
          <t>CAVE POLFLEX 20L</t>
        </is>
      </c>
      <c r="C222" s="3" t="inlineStr">
        <is>
          <t>General</t>
        </is>
      </c>
      <c r="D222" s="3" t="inlineStr">
        <is>
          <t>TINETA</t>
        </is>
      </c>
      <c r="E222" s="4">
        <f>IF(SUMIFS('By Instance'!$G:$G,'By Instance'!$E:$E,A222,'By Instance'!$C:$C,C222)=0,"",SUMIFS('By Instance'!$G:$G,'By Instance'!$E:$E,A222,'By Instance'!$C:$C,C222))</f>
        <v/>
      </c>
      <c r="F222" s="6">
        <f>IF(OR(E222="",E222=0,G222=""),"",G222/E222)</f>
        <v/>
      </c>
      <c r="G222" s="6">
        <f>IF(SUMIFS('By Instance'!$I:$I,'By Instance'!$E:$E,A222,'By Instance'!$C:$C,C222)=0,"",SUMIFS('By Instance'!$I:$I,'By Instance'!$E:$E,A222,'By Instance'!$C:$C,C222))</f>
        <v/>
      </c>
    </row>
    <row r="223">
      <c r="A223" s="2" t="inlineStr">
        <is>
          <t>LEGACY-1071</t>
        </is>
      </c>
      <c r="B223" s="3" t="inlineStr">
        <is>
          <t>TIRAFONDO TBS 6X240</t>
        </is>
      </c>
      <c r="C223" s="3" t="inlineStr">
        <is>
          <t>General</t>
        </is>
      </c>
      <c r="D223" s="3" t="inlineStr">
        <is>
          <t>UN</t>
        </is>
      </c>
      <c r="E223" s="4">
        <f>IF(SUMIFS('By Instance'!$G:$G,'By Instance'!$E:$E,A223,'By Instance'!$C:$C,C223)=0,"",SUMIFS('By Instance'!$G:$G,'By Instance'!$E:$E,A223,'By Instance'!$C:$C,C223))</f>
        <v/>
      </c>
      <c r="F223" s="6">
        <f>IF(OR(E223="",E223=0,G223=""),"",G223/E223)</f>
        <v/>
      </c>
      <c r="G223" s="6">
        <f>IF(SUMIFS('By Instance'!$I:$I,'By Instance'!$E:$E,A223,'By Instance'!$C:$C,C223)=0,"",SUMIFS('By Instance'!$I:$I,'By Instance'!$E:$E,A223,'By Instance'!$C:$C,C223))</f>
        <v/>
      </c>
    </row>
    <row r="224">
      <c r="A224" s="2" t="inlineStr">
        <is>
          <t>LEGACY-MATERIAL-1088</t>
        </is>
      </c>
      <c r="B224" s="3" t="inlineStr">
        <is>
          <t>Legacy missing material 1088</t>
        </is>
      </c>
      <c r="C224" s="3" t="inlineStr">
        <is>
          <t>General</t>
        </is>
      </c>
      <c r="D224" s="3" t="inlineStr"/>
      <c r="E224" s="4">
        <f>IF(SUMIFS('By Instance'!$G:$G,'By Instance'!$E:$E,A224,'By Instance'!$C:$C,C224)=0,"",SUMIFS('By Instance'!$G:$G,'By Instance'!$E:$E,A224,'By Instance'!$C:$C,C224))</f>
        <v/>
      </c>
      <c r="F224" s="6">
        <f>IF(OR(E224="",E224=0,G224=""),"",G224/E224)</f>
        <v/>
      </c>
      <c r="G224" s="6">
        <f>IF(SUMIFS('By Instance'!$I:$I,'By Instance'!$E:$E,A224,'By Instance'!$C:$C,C224)=0,"",SUMIFS('By Instance'!$I:$I,'By Instance'!$E:$E,A224,'By Instance'!$C:$C,C224))</f>
        <v/>
      </c>
    </row>
    <row r="225">
      <c r="A225" s="2" t="inlineStr">
        <is>
          <t>LUBR0002</t>
        </is>
      </c>
      <c r="B225" s="3" t="inlineStr">
        <is>
          <t>LUBRICANTE PVC 500GRS</t>
        </is>
      </c>
      <c r="C225" s="3" t="inlineStr">
        <is>
          <t>General</t>
        </is>
      </c>
      <c r="D225" s="3" t="inlineStr">
        <is>
          <t>UN</t>
        </is>
      </c>
      <c r="E225" s="4">
        <f>IF(SUMIFS('By Instance'!$G:$G,'By Instance'!$E:$E,A225,'By Instance'!$C:$C,C225)=0,"",SUMIFS('By Instance'!$G:$G,'By Instance'!$E:$E,A225,'By Instance'!$C:$C,C225))</f>
        <v/>
      </c>
      <c r="F225" s="6">
        <f>IF(OR(E225="",E225=0,G225=""),"",G225/E225)</f>
        <v/>
      </c>
      <c r="G225" s="6">
        <f>IF(SUMIFS('By Instance'!$I:$I,'By Instance'!$E:$E,A225,'By Instance'!$C:$C,C225)=0,"",SUMIFS('By Instance'!$I:$I,'By Instance'!$E:$E,A225,'By Instance'!$C:$C,C225))</f>
        <v/>
      </c>
    </row>
    <row r="226">
      <c r="A226" s="2" t="inlineStr">
        <is>
          <t>MADE0008</t>
        </is>
      </c>
      <c r="B226" s="3" t="inlineStr">
        <is>
          <t>PINO 2 X 10 X 3.20 MT CEPILLADO SECO</t>
        </is>
      </c>
      <c r="C226" s="3" t="inlineStr">
        <is>
          <t>General</t>
        </is>
      </c>
      <c r="D226" s="3" t="inlineStr">
        <is>
          <t>UN</t>
        </is>
      </c>
      <c r="E226" s="4">
        <f>IF(SUMIFS('By Instance'!$G:$G,'By Instance'!$E:$E,A226,'By Instance'!$C:$C,C226)=0,"",SUMIFS('By Instance'!$G:$G,'By Instance'!$E:$E,A226,'By Instance'!$C:$C,C226))</f>
        <v/>
      </c>
      <c r="F226" s="6">
        <f>IF(OR(E226="",E226=0,G226=""),"",G226/E226)</f>
        <v/>
      </c>
      <c r="G226" s="6">
        <f>IF(SUMIFS('By Instance'!$I:$I,'By Instance'!$E:$E,A226,'By Instance'!$C:$C,C226)=0,"",SUMIFS('By Instance'!$I:$I,'By Instance'!$E:$E,A226,'By Instance'!$C:$C,C226))</f>
        <v/>
      </c>
    </row>
    <row r="227">
      <c r="A227" s="2" t="inlineStr">
        <is>
          <t>MADE0029</t>
        </is>
      </c>
      <c r="B227" s="3" t="inlineStr">
        <is>
          <t>MAD ASER, ESTRUC, PINO, IMPREG SECO, CALIB, 41x138,3.2</t>
        </is>
      </c>
      <c r="C227" s="3" t="inlineStr">
        <is>
          <t>General</t>
        </is>
      </c>
      <c r="D227" s="3" t="inlineStr">
        <is>
          <t>UN</t>
        </is>
      </c>
      <c r="E227" s="4">
        <f>IF(SUMIFS('By Instance'!$G:$G,'By Instance'!$E:$E,A227,'By Instance'!$C:$C,C227)=0,"",SUMIFS('By Instance'!$G:$G,'By Instance'!$E:$E,A227,'By Instance'!$C:$C,C227))</f>
        <v/>
      </c>
      <c r="F227" s="6">
        <f>IF(OR(E227="",E227=0,G227=""),"",G227/E227)</f>
        <v/>
      </c>
      <c r="G227" s="6">
        <f>IF(SUMIFS('By Instance'!$I:$I,'By Instance'!$E:$E,A227,'By Instance'!$C:$C,C227)=0,"",SUMIFS('By Instance'!$I:$I,'By Instance'!$E:$E,A227,'By Instance'!$C:$C,C227))</f>
        <v/>
      </c>
    </row>
    <row r="228">
      <c r="A228" s="2" t="inlineStr">
        <is>
          <t>MADE0033</t>
        </is>
      </c>
      <c r="B228" s="3" t="inlineStr">
        <is>
          <t>MAD ASER, ESTRUC, PINO, IMPREG SECO, CALIB, 41x185,3.2</t>
        </is>
      </c>
      <c r="C228" s="3" t="inlineStr">
        <is>
          <t>General</t>
        </is>
      </c>
      <c r="D228" s="3" t="inlineStr">
        <is>
          <t>UN</t>
        </is>
      </c>
      <c r="E228" s="4">
        <f>IF(SUMIFS('By Instance'!$G:$G,'By Instance'!$E:$E,A228,'By Instance'!$C:$C,C228)=0,"",SUMIFS('By Instance'!$G:$G,'By Instance'!$E:$E,A228,'By Instance'!$C:$C,C228))</f>
        <v/>
      </c>
      <c r="F228" s="6">
        <f>IF(OR(E228="",E228=0,G228=""),"",G228/E228)</f>
        <v/>
      </c>
      <c r="G228" s="6">
        <f>IF(SUMIFS('By Instance'!$I:$I,'By Instance'!$E:$E,A228,'By Instance'!$C:$C,C228)=0,"",SUMIFS('By Instance'!$I:$I,'By Instance'!$E:$E,A228,'By Instance'!$C:$C,C228))</f>
        <v/>
      </c>
    </row>
    <row r="229">
      <c r="A229" s="2" t="inlineStr">
        <is>
          <t>MADE0037</t>
        </is>
      </c>
      <c r="B229" s="3" t="inlineStr">
        <is>
          <t>MAD ASER, ESTRUC,  PINO, IMPREG SECO, CALIB, 41x90,2.4</t>
        </is>
      </c>
      <c r="C229" s="3" t="inlineStr">
        <is>
          <t>General</t>
        </is>
      </c>
      <c r="D229" s="3" t="inlineStr">
        <is>
          <t>UN</t>
        </is>
      </c>
      <c r="E229" s="4">
        <f>IF(SUMIFS('By Instance'!$G:$G,'By Instance'!$E:$E,A229,'By Instance'!$C:$C,C229)=0,"",SUMIFS('By Instance'!$G:$G,'By Instance'!$E:$E,A229,'By Instance'!$C:$C,C229))</f>
        <v/>
      </c>
      <c r="F229" s="6">
        <f>IF(OR(E229="",E229=0,G229=""),"",G229/E229)</f>
        <v/>
      </c>
      <c r="G229" s="6">
        <f>IF(SUMIFS('By Instance'!$I:$I,'By Instance'!$E:$E,A229,'By Instance'!$C:$C,C229)=0,"",SUMIFS('By Instance'!$I:$I,'By Instance'!$E:$E,A229,'By Instance'!$C:$C,C229))</f>
        <v/>
      </c>
    </row>
    <row r="230">
      <c r="A230" s="2" t="inlineStr">
        <is>
          <t>MADE0040</t>
        </is>
      </c>
      <c r="B230" s="3" t="inlineStr">
        <is>
          <t>MAD ASER, ESTRUC, PINO, IMPREG SECO, CALIB, 41x90,3.2</t>
        </is>
      </c>
      <c r="C230" s="3" t="inlineStr">
        <is>
          <t>General</t>
        </is>
      </c>
      <c r="D230" s="3" t="inlineStr">
        <is>
          <t>UN</t>
        </is>
      </c>
      <c r="E230" s="4">
        <f>IF(SUMIFS('By Instance'!$G:$G,'By Instance'!$E:$E,A230,'By Instance'!$C:$C,C230)=0,"",SUMIFS('By Instance'!$G:$G,'By Instance'!$E:$E,A230,'By Instance'!$C:$C,C230))</f>
        <v/>
      </c>
      <c r="F230" s="6">
        <f>IF(OR(E230="",E230=0,G230=""),"",G230/E230)</f>
        <v/>
      </c>
      <c r="G230" s="6">
        <f>IF(SUMIFS('By Instance'!$I:$I,'By Instance'!$E:$E,A230,'By Instance'!$C:$C,C230)=0,"",SUMIFS('By Instance'!$I:$I,'By Instance'!$E:$E,A230,'By Instance'!$C:$C,C230))</f>
        <v/>
      </c>
    </row>
    <row r="231">
      <c r="A231" s="2" t="inlineStr">
        <is>
          <t>MADE0080</t>
        </is>
      </c>
      <c r="B231" s="3" t="inlineStr">
        <is>
          <t>PINO CEPILLADO SECO 2X2X3200</t>
        </is>
      </c>
      <c r="C231" s="3" t="inlineStr">
        <is>
          <t>General</t>
        </is>
      </c>
      <c r="D231" s="3" t="inlineStr">
        <is>
          <t>UN</t>
        </is>
      </c>
      <c r="E231" s="4">
        <f>IF(SUMIFS('By Instance'!$G:$G,'By Instance'!$E:$E,A231,'By Instance'!$C:$C,C231)=0,"",SUMIFS('By Instance'!$G:$G,'By Instance'!$E:$E,A231,'By Instance'!$C:$C,C231))</f>
        <v/>
      </c>
      <c r="F231" s="6">
        <f>IF(OR(E231="",E231=0,G231=""),"",G231/E231)</f>
        <v/>
      </c>
      <c r="G231" s="6">
        <f>IF(SUMIFS('By Instance'!$I:$I,'By Instance'!$E:$E,A231,'By Instance'!$C:$C,C231)=0,"",SUMIFS('By Instance'!$I:$I,'By Instance'!$E:$E,A231,'By Instance'!$C:$C,C231))</f>
        <v/>
      </c>
    </row>
    <row r="232">
      <c r="A232" s="2" t="inlineStr">
        <is>
          <t>MAESTRANZA0001</t>
        </is>
      </c>
      <c r="B232" s="3" t="inlineStr">
        <is>
          <t>PLACA L - 200+75 X 400 X 5MM</t>
        </is>
      </c>
      <c r="C232" s="3" t="inlineStr">
        <is>
          <t>General</t>
        </is>
      </c>
      <c r="D232" s="3" t="inlineStr">
        <is>
          <t>KG</t>
        </is>
      </c>
      <c r="E232" s="4">
        <f>IF(SUMIFS('By Instance'!$G:$G,'By Instance'!$E:$E,A232,'By Instance'!$C:$C,C232)=0,"",SUMIFS('By Instance'!$G:$G,'By Instance'!$E:$E,A232,'By Instance'!$C:$C,C232))</f>
        <v/>
      </c>
      <c r="F232" s="6">
        <f>IF(OR(E232="",E232=0,G232=""),"",G232/E232)</f>
        <v/>
      </c>
      <c r="G232" s="6">
        <f>IF(SUMIFS('By Instance'!$I:$I,'By Instance'!$E:$E,A232,'By Instance'!$C:$C,C232)=0,"",SUMIFS('By Instance'!$I:$I,'By Instance'!$E:$E,A232,'By Instance'!$C:$C,C232))</f>
        <v/>
      </c>
    </row>
    <row r="233">
      <c r="A233" s="2" t="inlineStr">
        <is>
          <t>MEMB0011</t>
        </is>
      </c>
      <c r="B233" s="3" t="inlineStr">
        <is>
          <t>MEMBRANA HIDROFUGA 80G/M2 75M2 IMP</t>
        </is>
      </c>
      <c r="C233" s="3" t="inlineStr">
        <is>
          <t>General</t>
        </is>
      </c>
      <c r="D233" s="3" t="inlineStr">
        <is>
          <t>ROLLO</t>
        </is>
      </c>
      <c r="E233" s="4">
        <f>IF(SUMIFS('By Instance'!$G:$G,'By Instance'!$E:$E,A233,'By Instance'!$C:$C,C233)=0,"",SUMIFS('By Instance'!$G:$G,'By Instance'!$E:$E,A233,'By Instance'!$C:$C,C233))</f>
        <v/>
      </c>
      <c r="F233" s="6">
        <f>IF(OR(E233="",E233=0,G233=""),"",G233/E233)</f>
        <v/>
      </c>
      <c r="G233" s="6">
        <f>IF(SUMIFS('By Instance'!$I:$I,'By Instance'!$E:$E,A233,'By Instance'!$C:$C,C233)=0,"",SUMIFS('By Instance'!$I:$I,'By Instance'!$E:$E,A233,'By Instance'!$C:$C,C233))</f>
        <v/>
      </c>
    </row>
    <row r="234">
      <c r="A234" s="2" t="inlineStr">
        <is>
          <t>MODU0033</t>
        </is>
      </c>
      <c r="B234" s="3" t="inlineStr">
        <is>
          <t>GUARDAPOLVO CHAFLAN 45MM LARGO 2,4</t>
        </is>
      </c>
      <c r="C234" s="3" t="inlineStr">
        <is>
          <t>General</t>
        </is>
      </c>
      <c r="D234" s="3" t="inlineStr">
        <is>
          <t>UN</t>
        </is>
      </c>
      <c r="E234" s="4">
        <f>IF(SUMIFS('By Instance'!$G:$G,'By Instance'!$E:$E,A234,'By Instance'!$C:$C,C234)=0,"",SUMIFS('By Instance'!$G:$G,'By Instance'!$E:$E,A234,'By Instance'!$C:$C,C234))</f>
        <v/>
      </c>
      <c r="F234" s="6">
        <f>IF(OR(E234="",E234=0,G234=""),"",G234/E234)</f>
        <v/>
      </c>
      <c r="G234" s="6">
        <f>IF(SUMIFS('By Instance'!$I:$I,'By Instance'!$E:$E,A234,'By Instance'!$C:$C,C234)=0,"",SUMIFS('By Instance'!$I:$I,'By Instance'!$E:$E,A234,'By Instance'!$C:$C,C234))</f>
        <v/>
      </c>
    </row>
    <row r="235">
      <c r="A235" s="2" t="inlineStr">
        <is>
          <t>MODU0043</t>
        </is>
      </c>
      <c r="B235" s="3" t="inlineStr">
        <is>
          <t>CUBREJUNTA TRANSICION MANDALA GRECO PVC</t>
        </is>
      </c>
      <c r="C235" s="3" t="inlineStr">
        <is>
          <t>General</t>
        </is>
      </c>
      <c r="D235" s="3" t="inlineStr">
        <is>
          <t>UN</t>
        </is>
      </c>
      <c r="E235" s="4">
        <f>IF(SUMIFS('By Instance'!$G:$G,'By Instance'!$E:$E,A235,'By Instance'!$C:$C,C235)=0,"",SUMIFS('By Instance'!$G:$G,'By Instance'!$E:$E,A235,'By Instance'!$C:$C,C235))</f>
        <v/>
      </c>
      <c r="F235" s="6">
        <f>IF(OR(E235="",E235=0,G235=""),"",G235/E235)</f>
        <v/>
      </c>
      <c r="G235" s="6">
        <f>IF(SUMIFS('By Instance'!$I:$I,'By Instance'!$E:$E,A235,'By Instance'!$C:$C,C235)=0,"",SUMIFS('By Instance'!$I:$I,'By Instance'!$E:$E,A235,'By Instance'!$C:$C,C235))</f>
        <v/>
      </c>
    </row>
    <row r="236">
      <c r="A236" s="2" t="inlineStr">
        <is>
          <t>MUEB0049</t>
        </is>
      </c>
      <c r="B236" s="3" t="inlineStr">
        <is>
          <t>MUEBLES LAVAPLATOS M01 PUELO</t>
        </is>
      </c>
      <c r="C236" s="3" t="inlineStr">
        <is>
          <t>General</t>
        </is>
      </c>
      <c r="D236" s="3" t="inlineStr">
        <is>
          <t>UN</t>
        </is>
      </c>
      <c r="E236" s="4">
        <f>IF(SUMIFS('By Instance'!$G:$G,'By Instance'!$E:$E,A236,'By Instance'!$C:$C,C236)=0,"",SUMIFS('By Instance'!$G:$G,'By Instance'!$E:$E,A236,'By Instance'!$C:$C,C236))</f>
        <v/>
      </c>
      <c r="F236" s="6">
        <f>IF(OR(E236="",E236=0,G236=""),"",G236/E236)</f>
        <v/>
      </c>
      <c r="G236" s="6">
        <f>IF(SUMIFS('By Instance'!$I:$I,'By Instance'!$E:$E,A236,'By Instance'!$C:$C,C236)=0,"",SUMIFS('By Instance'!$I:$I,'By Instance'!$E:$E,A236,'By Instance'!$C:$C,C236))</f>
        <v/>
      </c>
    </row>
    <row r="237">
      <c r="A237" s="2" t="inlineStr">
        <is>
          <t>MUEB0050</t>
        </is>
      </c>
      <c r="B237" s="3" t="inlineStr">
        <is>
          <t>MUEBLE M02 PUELO</t>
        </is>
      </c>
      <c r="C237" s="3" t="inlineStr">
        <is>
          <t>General</t>
        </is>
      </c>
      <c r="D237" s="3" t="inlineStr">
        <is>
          <t>UN</t>
        </is>
      </c>
      <c r="E237" s="4">
        <f>IF(SUMIFS('By Instance'!$G:$G,'By Instance'!$E:$E,A237,'By Instance'!$C:$C,C237)=0,"",SUMIFS('By Instance'!$G:$G,'By Instance'!$E:$E,A237,'By Instance'!$C:$C,C237))</f>
        <v/>
      </c>
      <c r="F237" s="6">
        <f>IF(OR(E237="",E237=0,G237=""),"",G237/E237)</f>
        <v/>
      </c>
      <c r="G237" s="6">
        <f>IF(SUMIFS('By Instance'!$I:$I,'By Instance'!$E:$E,A237,'By Instance'!$C:$C,C237)=0,"",SUMIFS('By Instance'!$I:$I,'By Instance'!$E:$E,A237,'By Instance'!$C:$C,C237))</f>
        <v/>
      </c>
    </row>
    <row r="238">
      <c r="A238" s="2" t="inlineStr">
        <is>
          <t>MUEB0051</t>
        </is>
      </c>
      <c r="B238" s="3" t="inlineStr">
        <is>
          <t>MUEBLE M03 PUELO</t>
        </is>
      </c>
      <c r="C238" s="3" t="inlineStr">
        <is>
          <t>General</t>
        </is>
      </c>
      <c r="D238" s="3" t="inlineStr">
        <is>
          <t>UN</t>
        </is>
      </c>
      <c r="E238" s="4">
        <f>IF(SUMIFS('By Instance'!$G:$G,'By Instance'!$E:$E,A238,'By Instance'!$C:$C,C238)=0,"",SUMIFS('By Instance'!$G:$G,'By Instance'!$E:$E,A238,'By Instance'!$C:$C,C238))</f>
        <v/>
      </c>
      <c r="F238" s="6">
        <f>IF(OR(E238="",E238=0,G238=""),"",G238/E238)</f>
        <v/>
      </c>
      <c r="G238" s="6">
        <f>IF(SUMIFS('By Instance'!$I:$I,'By Instance'!$E:$E,A238,'By Instance'!$C:$C,C238)=0,"",SUMIFS('By Instance'!$I:$I,'By Instance'!$E:$E,A238,'By Instance'!$C:$C,C238))</f>
        <v/>
      </c>
    </row>
    <row r="239">
      <c r="A239" s="2" t="inlineStr">
        <is>
          <t>PISO0029</t>
        </is>
      </c>
      <c r="B239" s="3" t="inlineStr">
        <is>
          <t>PISO VINILICO MANDALA GRECO SPC -N</t>
        </is>
      </c>
      <c r="C239" s="3" t="inlineStr">
        <is>
          <t>General</t>
        </is>
      </c>
      <c r="D239" s="3" t="inlineStr">
        <is>
          <t>CAJA</t>
        </is>
      </c>
      <c r="E239" s="4">
        <f>IF(SUMIFS('By Instance'!$G:$G,'By Instance'!$E:$E,A239,'By Instance'!$C:$C,C239)=0,"",SUMIFS('By Instance'!$G:$G,'By Instance'!$E:$E,A239,'By Instance'!$C:$C,C239))</f>
        <v/>
      </c>
      <c r="F239" s="6">
        <f>IF(OR(E239="",E239=0,G239=""),"",G239/E239)</f>
        <v/>
      </c>
      <c r="G239" s="6">
        <f>IF(SUMIFS('By Instance'!$I:$I,'By Instance'!$E:$E,A239,'By Instance'!$C:$C,C239)=0,"",SUMIFS('By Instance'!$I:$I,'By Instance'!$E:$E,A239,'By Instance'!$C:$C,C239))</f>
        <v/>
      </c>
    </row>
    <row r="240">
      <c r="A240" s="2" t="inlineStr">
        <is>
          <t>PISO0047</t>
        </is>
      </c>
      <c r="B240" s="3" t="inlineStr">
        <is>
          <t>ALFOMBRA  TERRA IVORY 4MT</t>
        </is>
      </c>
      <c r="C240" s="3" t="inlineStr">
        <is>
          <t>General</t>
        </is>
      </c>
      <c r="D240" s="3" t="inlineStr">
        <is>
          <t>M2</t>
        </is>
      </c>
      <c r="E240" s="4">
        <f>IF(SUMIFS('By Instance'!$G:$G,'By Instance'!$E:$E,A240,'By Instance'!$C:$C,C240)=0,"",SUMIFS('By Instance'!$G:$G,'By Instance'!$E:$E,A240,'By Instance'!$C:$C,C240))</f>
        <v/>
      </c>
      <c r="F240" s="6">
        <f>IF(OR(E240="",E240=0,G240=""),"",G240/E240)</f>
        <v/>
      </c>
      <c r="G240" s="6">
        <f>IF(SUMIFS('By Instance'!$I:$I,'By Instance'!$E:$E,A240,'By Instance'!$C:$C,C240)=0,"",SUMIFS('By Instance'!$I:$I,'By Instance'!$E:$E,A240,'By Instance'!$C:$C,C240))</f>
        <v/>
      </c>
    </row>
    <row r="241">
      <c r="A241" s="2" t="inlineStr">
        <is>
          <t>PLAC0004</t>
        </is>
      </c>
      <c r="B241" s="3" t="inlineStr">
        <is>
          <t>MDP RH 12X2440X3280</t>
        </is>
      </c>
      <c r="C241" s="3" t="inlineStr">
        <is>
          <t>General</t>
        </is>
      </c>
      <c r="D241" s="3" t="inlineStr">
        <is>
          <t>UN</t>
        </is>
      </c>
      <c r="E241" s="4">
        <f>IF(SUMIFS('By Instance'!$G:$G,'By Instance'!$E:$E,A241,'By Instance'!$C:$C,C241)=0,"",SUMIFS('By Instance'!$G:$G,'By Instance'!$E:$E,A241,'By Instance'!$C:$C,C241))</f>
        <v/>
      </c>
      <c r="F241" s="6">
        <f>IF(OR(E241="",E241=0,G241=""),"",G241/E241)</f>
        <v/>
      </c>
      <c r="G241" s="6">
        <f>IF(SUMIFS('By Instance'!$I:$I,'By Instance'!$E:$E,A241,'By Instance'!$C:$C,C241)=0,"",SUMIFS('By Instance'!$I:$I,'By Instance'!$E:$E,A241,'By Instance'!$C:$C,C241))</f>
        <v/>
      </c>
    </row>
    <row r="242">
      <c r="A242" s="2" t="inlineStr">
        <is>
          <t>PLAC0008</t>
        </is>
      </c>
      <c r="B242" s="3" t="inlineStr">
        <is>
          <t>OSB APA 9.5 X 1,22 X 2,44 MM</t>
        </is>
      </c>
      <c r="C242" s="3" t="inlineStr">
        <is>
          <t>General</t>
        </is>
      </c>
      <c r="D242" s="3" t="inlineStr">
        <is>
          <t>UN</t>
        </is>
      </c>
      <c r="E242" s="4">
        <f>IF(SUMIFS('By Instance'!$G:$G,'By Instance'!$E:$E,A242,'By Instance'!$C:$C,C242)=0,"",SUMIFS('By Instance'!$G:$G,'By Instance'!$E:$E,A242,'By Instance'!$C:$C,C242))</f>
        <v/>
      </c>
      <c r="F242" s="6">
        <f>IF(OR(E242="",E242=0,G242=""),"",G242/E242)</f>
        <v/>
      </c>
      <c r="G242" s="6">
        <f>IF(SUMIFS('By Instance'!$I:$I,'By Instance'!$E:$E,A242,'By Instance'!$C:$C,C242)=0,"",SUMIFS('By Instance'!$I:$I,'By Instance'!$E:$E,A242,'By Instance'!$C:$C,C242))</f>
        <v/>
      </c>
    </row>
    <row r="243">
      <c r="A243" s="2" t="inlineStr">
        <is>
          <t>PLAC0045</t>
        </is>
      </c>
      <c r="B243" s="3" t="inlineStr">
        <is>
          <t>SMART PANNEL H1. 11,1X1220X4880MM</t>
        </is>
      </c>
      <c r="C243" s="3" t="inlineStr">
        <is>
          <t>General</t>
        </is>
      </c>
      <c r="D243" s="3" t="inlineStr">
        <is>
          <t>UN</t>
        </is>
      </c>
      <c r="E243" s="4">
        <f>IF(SUMIFS('By Instance'!$G:$G,'By Instance'!$E:$E,A243,'By Instance'!$C:$C,C243)=0,"",SUMIFS('By Instance'!$G:$G,'By Instance'!$E:$E,A243,'By Instance'!$C:$C,C243))</f>
        <v/>
      </c>
      <c r="F243" s="6">
        <f>IF(OR(E243="",E243=0,G243=""),"",G243/E243)</f>
        <v/>
      </c>
      <c r="G243" s="6">
        <f>IF(SUMIFS('By Instance'!$I:$I,'By Instance'!$E:$E,A243,'By Instance'!$C:$C,C243)=0,"",SUMIFS('By Instance'!$I:$I,'By Instance'!$E:$E,A243,'By Instance'!$C:$C,C243))</f>
        <v/>
      </c>
    </row>
    <row r="244">
      <c r="A244" s="2" t="inlineStr">
        <is>
          <t>PLAC0062</t>
        </is>
      </c>
      <c r="B244" s="3" t="inlineStr">
        <is>
          <t>YESO CARTON  XR BR 15mm  x 1,2 x 2,4 VOLCAN</t>
        </is>
      </c>
      <c r="C244" s="3" t="inlineStr">
        <is>
          <t>General</t>
        </is>
      </c>
      <c r="D244" s="3" t="inlineStr">
        <is>
          <t>UN</t>
        </is>
      </c>
      <c r="E244" s="4">
        <f>IF(SUMIFS('By Instance'!$G:$G,'By Instance'!$E:$E,A244,'By Instance'!$C:$C,C244)=0,"",SUMIFS('By Instance'!$G:$G,'By Instance'!$E:$E,A244,'By Instance'!$C:$C,C244))</f>
        <v/>
      </c>
      <c r="F244" s="6">
        <f>IF(OR(E244="",E244=0,G244=""),"",G244/E244)</f>
        <v/>
      </c>
      <c r="G244" s="6">
        <f>IF(SUMIFS('By Instance'!$I:$I,'By Instance'!$E:$E,A244,'By Instance'!$C:$C,C244)=0,"",SUMIFS('By Instance'!$I:$I,'By Instance'!$E:$E,A244,'By Instance'!$C:$C,C244))</f>
        <v/>
      </c>
    </row>
    <row r="245">
      <c r="A245" s="2" t="inlineStr">
        <is>
          <t>PLAC0066</t>
        </is>
      </c>
      <c r="B245" s="3" t="inlineStr">
        <is>
          <t>PLACA FIBROCEMENTO SIMPLICIMA  MAD RUSTICA SOFT 6MM</t>
        </is>
      </c>
      <c r="C245" s="3" t="inlineStr">
        <is>
          <t>General</t>
        </is>
      </c>
      <c r="D245" s="3" t="inlineStr">
        <is>
          <t>UN</t>
        </is>
      </c>
      <c r="E245" s="4">
        <f>IF(SUMIFS('By Instance'!$G:$G,'By Instance'!$E:$E,A245,'By Instance'!$C:$C,C245)=0,"",SUMIFS('By Instance'!$G:$G,'By Instance'!$E:$E,A245,'By Instance'!$C:$C,C245))</f>
        <v/>
      </c>
      <c r="F245" s="6">
        <f>IF(OR(E245="",E245=0,G245=""),"",G245/E245)</f>
        <v/>
      </c>
      <c r="G245" s="6">
        <f>IF(SUMIFS('By Instance'!$I:$I,'By Instance'!$E:$E,A245,'By Instance'!$C:$C,C245)=0,"",SUMIFS('By Instance'!$I:$I,'By Instance'!$E:$E,A245,'By Instance'!$C:$C,C245))</f>
        <v/>
      </c>
    </row>
    <row r="246">
      <c r="A246" s="2" t="inlineStr">
        <is>
          <t>PLAC0075</t>
        </is>
      </c>
      <c r="B246" s="3" t="inlineStr">
        <is>
          <t>MDP 18MM P5 2,05 X 3,28 MT</t>
        </is>
      </c>
      <c r="C246" s="3" t="inlineStr">
        <is>
          <t>General</t>
        </is>
      </c>
      <c r="D246" s="3" t="inlineStr">
        <is>
          <t>UN</t>
        </is>
      </c>
      <c r="E246" s="4">
        <f>IF(SUMIFS('By Instance'!$G:$G,'By Instance'!$E:$E,A246,'By Instance'!$C:$C,C246)=0,"",SUMIFS('By Instance'!$G:$G,'By Instance'!$E:$E,A246,'By Instance'!$C:$C,C246))</f>
        <v/>
      </c>
      <c r="F246" s="6">
        <f>IF(OR(E246="",E246=0,G246=""),"",G246/E246)</f>
        <v/>
      </c>
      <c r="G246" s="6">
        <f>IF(SUMIFS('By Instance'!$I:$I,'By Instance'!$E:$E,A246,'By Instance'!$C:$C,C246)=0,"",SUMIFS('By Instance'!$I:$I,'By Instance'!$E:$E,A246,'By Instance'!$C:$C,C246))</f>
        <v/>
      </c>
    </row>
    <row r="247">
      <c r="A247" s="2" t="inlineStr">
        <is>
          <t>PLAC0078</t>
        </is>
      </c>
      <c r="B247" s="3" t="inlineStr">
        <is>
          <t>MDP RH 18X2440X3275</t>
        </is>
      </c>
      <c r="C247" s="3" t="inlineStr">
        <is>
          <t>General</t>
        </is>
      </c>
      <c r="D247" s="3" t="inlineStr">
        <is>
          <t>UN</t>
        </is>
      </c>
      <c r="E247" s="4">
        <f>IF(SUMIFS('By Instance'!$G:$G,'By Instance'!$E:$E,A247,'By Instance'!$C:$C,C247)=0,"",SUMIFS('By Instance'!$G:$G,'By Instance'!$E:$E,A247,'By Instance'!$C:$C,C247))</f>
        <v/>
      </c>
      <c r="F247" s="6">
        <f>IF(OR(E247="",E247=0,G247=""),"",G247/E247)</f>
        <v/>
      </c>
      <c r="G247" s="6">
        <f>IF(SUMIFS('By Instance'!$I:$I,'By Instance'!$E:$E,A247,'By Instance'!$C:$C,C247)=0,"",SUMIFS('By Instance'!$I:$I,'By Instance'!$E:$E,A247,'By Instance'!$C:$C,C247))</f>
        <v/>
      </c>
    </row>
    <row r="248">
      <c r="A248" s="2" t="inlineStr">
        <is>
          <t>PUER0138</t>
        </is>
      </c>
      <c r="B248" s="3" t="inlineStr">
        <is>
          <t>PUERTA FIBRA 850X2000 COPAGUE MARCO PVC BLANCO DERECHA</t>
        </is>
      </c>
      <c r="C248" s="3" t="inlineStr">
        <is>
          <t>Normal</t>
        </is>
      </c>
      <c r="D248" s="3" t="inlineStr">
        <is>
          <t>UN</t>
        </is>
      </c>
      <c r="E248" s="4">
        <f>IF(SUMIFS('By Instance'!$G:$G,'By Instance'!$E:$E,A248,'By Instance'!$C:$C,C248)=0,"",SUMIFS('By Instance'!$G:$G,'By Instance'!$E:$E,A248,'By Instance'!$C:$C,C248))</f>
        <v/>
      </c>
      <c r="F248" s="6">
        <f>IF(OR(E248="",E248=0,G248=""),"",G248/E248)</f>
        <v/>
      </c>
      <c r="G248" s="6">
        <f>IF(SUMIFS('By Instance'!$I:$I,'By Instance'!$E:$E,A248,'By Instance'!$C:$C,C248)=0,"",SUMIFS('By Instance'!$I:$I,'By Instance'!$E:$E,A248,'By Instance'!$C:$C,C248))</f>
        <v/>
      </c>
    </row>
    <row r="249">
      <c r="A249" s="2" t="inlineStr">
        <is>
          <t>PUER0138</t>
        </is>
      </c>
      <c r="B249" s="3" t="inlineStr">
        <is>
          <t>PUERTA FIBRA 850X2000 COPAGUE MARCO PVC BLANCO DERECHA</t>
        </is>
      </c>
      <c r="C249" s="3" t="inlineStr">
        <is>
          <t>Normal Ampliada</t>
        </is>
      </c>
      <c r="D249" s="3" t="inlineStr">
        <is>
          <t>UN</t>
        </is>
      </c>
      <c r="E249" s="4">
        <f>IF(SUMIFS('By Instance'!$G:$G,'By Instance'!$E:$E,A249,'By Instance'!$C:$C,C249)=0,"",SUMIFS('By Instance'!$G:$G,'By Instance'!$E:$E,A249,'By Instance'!$C:$C,C249))</f>
        <v/>
      </c>
      <c r="F249" s="6">
        <f>IF(OR(E249="",E249=0,G249=""),"",G249/E249)</f>
        <v/>
      </c>
      <c r="G249" s="6">
        <f>IF(SUMIFS('By Instance'!$I:$I,'By Instance'!$E:$E,A249,'By Instance'!$C:$C,C249)=0,"",SUMIFS('By Instance'!$I:$I,'By Instance'!$E:$E,A249,'By Instance'!$C:$C,C249))</f>
        <v/>
      </c>
    </row>
    <row r="250">
      <c r="A250" s="2" t="inlineStr">
        <is>
          <t>PUER0139</t>
        </is>
      </c>
      <c r="B250" s="3" t="inlineStr">
        <is>
          <t>PUERTA FIBRA 850X2000 COPAGUE MARCO PVC BLANCO IZQUIERDA</t>
        </is>
      </c>
      <c r="C250" s="3" t="inlineStr">
        <is>
          <t>Espejada</t>
        </is>
      </c>
      <c r="D250" s="3" t="inlineStr">
        <is>
          <t>UN</t>
        </is>
      </c>
      <c r="E250" s="4">
        <f>IF(SUMIFS('By Instance'!$G:$G,'By Instance'!$E:$E,A250,'By Instance'!$C:$C,C250)=0,"",SUMIFS('By Instance'!$G:$G,'By Instance'!$E:$E,A250,'By Instance'!$C:$C,C250))</f>
        <v/>
      </c>
      <c r="F250" s="6">
        <f>IF(OR(E250="",E250=0,G250=""),"",G250/E250)</f>
        <v/>
      </c>
      <c r="G250" s="6">
        <f>IF(SUMIFS('By Instance'!$I:$I,'By Instance'!$E:$E,A250,'By Instance'!$C:$C,C250)=0,"",SUMIFS('By Instance'!$I:$I,'By Instance'!$E:$E,A250,'By Instance'!$C:$C,C250))</f>
        <v/>
      </c>
    </row>
    <row r="251">
      <c r="A251" s="2" t="inlineStr">
        <is>
          <t>PUER0139</t>
        </is>
      </c>
      <c r="B251" s="3" t="inlineStr">
        <is>
          <t>PUERTA FIBRA 850X2000 COPAGUE MARCO PVC BLANCO IZQUIERDA</t>
        </is>
      </c>
      <c r="C251" s="3" t="inlineStr">
        <is>
          <t>Espejada Ampliada</t>
        </is>
      </c>
      <c r="D251" s="3" t="inlineStr">
        <is>
          <t>UN</t>
        </is>
      </c>
      <c r="E251" s="4">
        <f>IF(SUMIFS('By Instance'!$G:$G,'By Instance'!$E:$E,A251,'By Instance'!$C:$C,C251)=0,"",SUMIFS('By Instance'!$G:$G,'By Instance'!$E:$E,A251,'By Instance'!$C:$C,C251))</f>
        <v/>
      </c>
      <c r="F251" s="6">
        <f>IF(OR(E251="",E251=0,G251=""),"",G251/E251)</f>
        <v/>
      </c>
      <c r="G251" s="6">
        <f>IF(SUMIFS('By Instance'!$I:$I,'By Instance'!$E:$E,A251,'By Instance'!$C:$C,C251)=0,"",SUMIFS('By Instance'!$I:$I,'By Instance'!$E:$E,A251,'By Instance'!$C:$C,C251))</f>
        <v/>
      </c>
    </row>
    <row r="252">
      <c r="A252" s="2" t="inlineStr">
        <is>
          <t>PUER0140</t>
        </is>
      </c>
      <c r="B252" s="3" t="inlineStr">
        <is>
          <t>PUERTA FIBRA 800X2000 COPAGUE MARCO PVC BLANCO DERECHA</t>
        </is>
      </c>
      <c r="C252" s="3" t="inlineStr">
        <is>
          <t>Normal</t>
        </is>
      </c>
      <c r="D252" s="3" t="inlineStr">
        <is>
          <t>UN</t>
        </is>
      </c>
      <c r="E252" s="4">
        <f>IF(SUMIFS('By Instance'!$G:$G,'By Instance'!$E:$E,A252,'By Instance'!$C:$C,C252)=0,"",SUMIFS('By Instance'!$G:$G,'By Instance'!$E:$E,A252,'By Instance'!$C:$C,C252))</f>
        <v/>
      </c>
      <c r="F252" s="6">
        <f>IF(OR(E252="",E252=0,G252=""),"",G252/E252)</f>
        <v/>
      </c>
      <c r="G252" s="6">
        <f>IF(SUMIFS('By Instance'!$I:$I,'By Instance'!$E:$E,A252,'By Instance'!$C:$C,C252)=0,"",SUMIFS('By Instance'!$I:$I,'By Instance'!$E:$E,A252,'By Instance'!$C:$C,C252))</f>
        <v/>
      </c>
    </row>
    <row r="253">
      <c r="A253" s="2" t="inlineStr">
        <is>
          <t>PUER0141</t>
        </is>
      </c>
      <c r="B253" s="3" t="inlineStr">
        <is>
          <t>PUERTA FIBRA 800X2000 COPAGUE MARCO PVC BLANCO IZQUIERDA</t>
        </is>
      </c>
      <c r="C253" s="3" t="inlineStr">
        <is>
          <t>Espejada</t>
        </is>
      </c>
      <c r="D253" s="3" t="inlineStr">
        <is>
          <t>UN</t>
        </is>
      </c>
      <c r="E253" s="4">
        <f>IF(SUMIFS('By Instance'!$G:$G,'By Instance'!$E:$E,A253,'By Instance'!$C:$C,C253)=0,"",SUMIFS('By Instance'!$G:$G,'By Instance'!$E:$E,A253,'By Instance'!$C:$C,C253))</f>
        <v/>
      </c>
      <c r="F253" s="6">
        <f>IF(OR(E253="",E253=0,G253=""),"",G253/E253)</f>
        <v/>
      </c>
      <c r="G253" s="6">
        <f>IF(SUMIFS('By Instance'!$I:$I,'By Instance'!$E:$E,A253,'By Instance'!$C:$C,C253)=0,"",SUMIFS('By Instance'!$I:$I,'By Instance'!$E:$E,A253,'By Instance'!$C:$C,C253))</f>
        <v/>
      </c>
    </row>
    <row r="254">
      <c r="A254" s="2" t="inlineStr">
        <is>
          <t>PUER0144</t>
        </is>
      </c>
      <c r="B254" s="3" t="inlineStr">
        <is>
          <t>PUERTA TERMINADA 750X2000, MARCO 30X115X6000 DERECHA</t>
        </is>
      </c>
      <c r="C254" s="3" t="inlineStr">
        <is>
          <t>Normal</t>
        </is>
      </c>
      <c r="D254" s="3" t="inlineStr">
        <is>
          <t>UN</t>
        </is>
      </c>
      <c r="E254" s="4">
        <f>IF(SUMIFS('By Instance'!$G:$G,'By Instance'!$E:$E,A254,'By Instance'!$C:$C,C254)=0,"",SUMIFS('By Instance'!$G:$G,'By Instance'!$E:$E,A254,'By Instance'!$C:$C,C254))</f>
        <v/>
      </c>
      <c r="F254" s="6">
        <f>IF(OR(E254="",E254=0,G254=""),"",G254/E254)</f>
        <v/>
      </c>
      <c r="G254" s="6">
        <f>IF(SUMIFS('By Instance'!$I:$I,'By Instance'!$E:$E,A254,'By Instance'!$C:$C,C254)=0,"",SUMIFS('By Instance'!$I:$I,'By Instance'!$E:$E,A254,'By Instance'!$C:$C,C254))</f>
        <v/>
      </c>
    </row>
    <row r="255">
      <c r="A255" s="2" t="inlineStr">
        <is>
          <t>PUER0145</t>
        </is>
      </c>
      <c r="B255" s="3" t="inlineStr">
        <is>
          <t>PUERTA TERMINADA 750X2000, MARCO 30X115X6000 IZQUIERDA</t>
        </is>
      </c>
      <c r="C255" s="3" t="inlineStr">
        <is>
          <t>Espejada</t>
        </is>
      </c>
      <c r="D255" s="3" t="inlineStr">
        <is>
          <t>UN</t>
        </is>
      </c>
      <c r="E255" s="4">
        <f>IF(SUMIFS('By Instance'!$G:$G,'By Instance'!$E:$E,A255,'By Instance'!$C:$C,C255)=0,"",SUMIFS('By Instance'!$G:$G,'By Instance'!$E:$E,A255,'By Instance'!$C:$C,C255))</f>
        <v/>
      </c>
      <c r="F255" s="6">
        <f>IF(OR(E255="",E255=0,G255=""),"",G255/E255)</f>
        <v/>
      </c>
      <c r="G255" s="6">
        <f>IF(SUMIFS('By Instance'!$I:$I,'By Instance'!$E:$E,A255,'By Instance'!$C:$C,C255)=0,"",SUMIFS('By Instance'!$I:$I,'By Instance'!$E:$E,A255,'By Instance'!$C:$C,C255))</f>
        <v/>
      </c>
    </row>
    <row r="256">
      <c r="A256" s="2" t="inlineStr">
        <is>
          <t>PUER0146</t>
        </is>
      </c>
      <c r="B256" s="3" t="inlineStr">
        <is>
          <t>PUERTA TERMINADA 750X2000 CELOSIA MARCO 30X115 IZQUIERDA</t>
        </is>
      </c>
      <c r="C256" s="3" t="inlineStr">
        <is>
          <t>Espejada</t>
        </is>
      </c>
      <c r="D256" s="3" t="inlineStr">
        <is>
          <t>UN</t>
        </is>
      </c>
      <c r="E256" s="4">
        <f>IF(SUMIFS('By Instance'!$G:$G,'By Instance'!$E:$E,A256,'By Instance'!$C:$C,C256)=0,"",SUMIFS('By Instance'!$G:$G,'By Instance'!$E:$E,A256,'By Instance'!$C:$C,C256))</f>
        <v/>
      </c>
      <c r="F256" s="6">
        <f>IF(OR(E256="",E256=0,G256=""),"",G256/E256)</f>
        <v/>
      </c>
      <c r="G256" s="6">
        <f>IF(SUMIFS('By Instance'!$I:$I,'By Instance'!$E:$E,A256,'By Instance'!$C:$C,C256)=0,"",SUMIFS('By Instance'!$I:$I,'By Instance'!$E:$E,A256,'By Instance'!$C:$C,C256))</f>
        <v/>
      </c>
    </row>
    <row r="257">
      <c r="A257" s="2" t="inlineStr">
        <is>
          <t>PUER0146</t>
        </is>
      </c>
      <c r="B257" s="3" t="inlineStr">
        <is>
          <t>PUERTA TERMINADA 750X2000 CELOSIA MARCO 30X115 IZQUIERDA</t>
        </is>
      </c>
      <c r="C257" s="3" t="inlineStr">
        <is>
          <t>Espejada Ampliada</t>
        </is>
      </c>
      <c r="D257" s="3" t="inlineStr">
        <is>
          <t>UN</t>
        </is>
      </c>
      <c r="E257" s="4">
        <f>IF(SUMIFS('By Instance'!$G:$G,'By Instance'!$E:$E,A257,'By Instance'!$C:$C,C257)=0,"",SUMIFS('By Instance'!$G:$G,'By Instance'!$E:$E,A257,'By Instance'!$C:$C,C257))</f>
        <v/>
      </c>
      <c r="F257" s="6">
        <f>IF(OR(E257="",E257=0,G257=""),"",G257/E257)</f>
        <v/>
      </c>
      <c r="G257" s="6">
        <f>IF(SUMIFS('By Instance'!$I:$I,'By Instance'!$E:$E,A257,'By Instance'!$C:$C,C257)=0,"",SUMIFS('By Instance'!$I:$I,'By Instance'!$E:$E,A257,'By Instance'!$C:$C,C257))</f>
        <v/>
      </c>
    </row>
    <row r="258">
      <c r="A258" s="2" t="inlineStr">
        <is>
          <t>PUER0147</t>
        </is>
      </c>
      <c r="B258" s="3" t="inlineStr">
        <is>
          <t>PUERTA TERMINADA 750X2000 CELOSIA MARCO 30X115 DERECHA</t>
        </is>
      </c>
      <c r="C258" s="3" t="inlineStr">
        <is>
          <t>Normal</t>
        </is>
      </c>
      <c r="D258" s="3" t="inlineStr">
        <is>
          <t>UN</t>
        </is>
      </c>
      <c r="E258" s="4">
        <f>IF(SUMIFS('By Instance'!$G:$G,'By Instance'!$E:$E,A258,'By Instance'!$C:$C,C258)=0,"",SUMIFS('By Instance'!$G:$G,'By Instance'!$E:$E,A258,'By Instance'!$C:$C,C258))</f>
        <v/>
      </c>
      <c r="F258" s="6">
        <f>IF(OR(E258="",E258=0,G258=""),"",G258/E258)</f>
        <v/>
      </c>
      <c r="G258" s="6">
        <f>IF(SUMIFS('By Instance'!$I:$I,'By Instance'!$E:$E,A258,'By Instance'!$C:$C,C258)=0,"",SUMIFS('By Instance'!$I:$I,'By Instance'!$E:$E,A258,'By Instance'!$C:$C,C258))</f>
        <v/>
      </c>
    </row>
    <row r="259">
      <c r="A259" s="2" t="inlineStr">
        <is>
          <t>PUER0147</t>
        </is>
      </c>
      <c r="B259" s="3" t="inlineStr">
        <is>
          <t>PUERTA TERMINADA 750X2000 CELOSIA MARCO 30X115 DERECHA</t>
        </is>
      </c>
      <c r="C259" s="3" t="inlineStr">
        <is>
          <t>Normal Ampliada</t>
        </is>
      </c>
      <c r="D259" s="3" t="inlineStr">
        <is>
          <t>UN</t>
        </is>
      </c>
      <c r="E259" s="4">
        <f>IF(SUMIFS('By Instance'!$G:$G,'By Instance'!$E:$E,A259,'By Instance'!$C:$C,C259)=0,"",SUMIFS('By Instance'!$G:$G,'By Instance'!$E:$E,A259,'By Instance'!$C:$C,C259))</f>
        <v/>
      </c>
      <c r="F259" s="6">
        <f>IF(OR(E259="",E259=0,G259=""),"",G259/E259)</f>
        <v/>
      </c>
      <c r="G259" s="6">
        <f>IF(SUMIFS('By Instance'!$I:$I,'By Instance'!$E:$E,A259,'By Instance'!$C:$C,C259)=0,"",SUMIFS('By Instance'!$I:$I,'By Instance'!$E:$E,A259,'By Instance'!$C:$C,C259))</f>
        <v/>
      </c>
    </row>
    <row r="260">
      <c r="A260" s="2" t="inlineStr">
        <is>
          <t>PUER0151</t>
        </is>
      </c>
      <c r="B260" s="3" t="inlineStr">
        <is>
          <t>PUERTA TERMINADA 650X2000, MARCO 30X115X6000 DERECHA</t>
        </is>
      </c>
      <c r="C260" s="3" t="inlineStr">
        <is>
          <t>General</t>
        </is>
      </c>
      <c r="D260" s="3" t="inlineStr">
        <is>
          <t>UN</t>
        </is>
      </c>
      <c r="E260" s="4">
        <f>IF(SUMIFS('By Instance'!$G:$G,'By Instance'!$E:$E,A260,'By Instance'!$C:$C,C260)=0,"",SUMIFS('By Instance'!$G:$G,'By Instance'!$E:$E,A260,'By Instance'!$C:$C,C260))</f>
        <v/>
      </c>
      <c r="F260" s="6">
        <f>IF(OR(E260="",E260=0,G260=""),"",G260/E260)</f>
        <v/>
      </c>
      <c r="G260" s="6">
        <f>IF(SUMIFS('By Instance'!$I:$I,'By Instance'!$E:$E,A260,'By Instance'!$C:$C,C260)=0,"",SUMIFS('By Instance'!$I:$I,'By Instance'!$E:$E,A260,'By Instance'!$C:$C,C260))</f>
        <v/>
      </c>
    </row>
    <row r="261">
      <c r="A261" s="2" t="inlineStr">
        <is>
          <t>PUER0152</t>
        </is>
      </c>
      <c r="B261" s="3" t="inlineStr">
        <is>
          <t>PUERTA TERMINADA 650X2000, MARCO 30X115X6000 IZQUIERDA</t>
        </is>
      </c>
      <c r="C261" s="3" t="inlineStr">
        <is>
          <t>General</t>
        </is>
      </c>
      <c r="D261" s="3" t="inlineStr">
        <is>
          <t>UN</t>
        </is>
      </c>
      <c r="E261" s="4">
        <f>IF(SUMIFS('By Instance'!$G:$G,'By Instance'!$E:$E,A261,'By Instance'!$C:$C,C261)=0,"",SUMIFS('By Instance'!$G:$G,'By Instance'!$E:$E,A261,'By Instance'!$C:$C,C261))</f>
        <v/>
      </c>
      <c r="F261" s="6">
        <f>IF(OR(E261="",E261=0,G261=""),"",G261/E261)</f>
        <v/>
      </c>
      <c r="G261" s="6">
        <f>IF(SUMIFS('By Instance'!$I:$I,'By Instance'!$E:$E,A261,'By Instance'!$C:$C,C261)=0,"",SUMIFS('By Instance'!$I:$I,'By Instance'!$E:$E,A261,'By Instance'!$C:$C,C261))</f>
        <v/>
      </c>
    </row>
    <row r="262">
      <c r="A262" s="2" t="inlineStr">
        <is>
          <t>QCLL0074</t>
        </is>
      </c>
      <c r="B262" s="3" t="inlineStr">
        <is>
          <t>TOPE PUERTA BASICO 30mmNEGRO BOLSA</t>
        </is>
      </c>
      <c r="C262" s="3" t="inlineStr">
        <is>
          <t>General</t>
        </is>
      </c>
      <c r="D262" s="3" t="inlineStr">
        <is>
          <t>UN</t>
        </is>
      </c>
      <c r="E262" s="4">
        <f>IF(SUMIFS('By Instance'!$G:$G,'By Instance'!$E:$E,A262,'By Instance'!$C:$C,C262)=0,"",SUMIFS('By Instance'!$G:$G,'By Instance'!$E:$E,A262,'By Instance'!$C:$C,C262))</f>
        <v/>
      </c>
      <c r="F262" s="6">
        <f>IF(OR(E262="",E262=0,G262=""),"",G262/E262)</f>
        <v/>
      </c>
      <c r="G262" s="6">
        <f>IF(SUMIFS('By Instance'!$I:$I,'By Instance'!$E:$E,A262,'By Instance'!$C:$C,C262)=0,"",SUMIFS('By Instance'!$I:$I,'By Instance'!$E:$E,A262,'By Instance'!$C:$C,C262))</f>
        <v/>
      </c>
    </row>
    <row r="263">
      <c r="A263" s="2" t="inlineStr">
        <is>
          <t>QCLL0098</t>
        </is>
      </c>
      <c r="B263" s="3" t="inlineStr">
        <is>
          <t>CERRADURA MANILLA EMBUTIDA SCANAVINI 1180 ACCESO</t>
        </is>
      </c>
      <c r="C263" s="3" t="inlineStr">
        <is>
          <t>General</t>
        </is>
      </c>
      <c r="D263" s="3" t="inlineStr">
        <is>
          <t>UN</t>
        </is>
      </c>
      <c r="E263" s="4">
        <f>IF(SUMIFS('By Instance'!$G:$G,'By Instance'!$E:$E,A263,'By Instance'!$C:$C,C263)=0,"",SUMIFS('By Instance'!$G:$G,'By Instance'!$E:$E,A263,'By Instance'!$C:$C,C263))</f>
        <v/>
      </c>
      <c r="F263" s="6">
        <f>IF(OR(E263="",E263=0,G263=""),"",G263/E263)</f>
        <v/>
      </c>
      <c r="G263" s="6">
        <f>IF(SUMIFS('By Instance'!$I:$I,'By Instance'!$E:$E,A263,'By Instance'!$C:$C,C263)=0,"",SUMIFS('By Instance'!$I:$I,'By Instance'!$E:$E,A263,'By Instance'!$C:$C,C263))</f>
        <v/>
      </c>
    </row>
    <row r="264">
      <c r="A264" s="2" t="inlineStr">
        <is>
          <t>QCLL0099</t>
        </is>
      </c>
      <c r="B264" s="3" t="inlineStr">
        <is>
          <t>CERRADURA MANILLA EMBUTIR SCANAVINI 1184 COCINA</t>
        </is>
      </c>
      <c r="C264" s="3" t="inlineStr">
        <is>
          <t>General</t>
        </is>
      </c>
      <c r="D264" s="3" t="inlineStr">
        <is>
          <t>UN</t>
        </is>
      </c>
      <c r="E264" s="4">
        <f>IF(SUMIFS('By Instance'!$G:$G,'By Instance'!$E:$E,A264,'By Instance'!$C:$C,C264)=0,"",SUMIFS('By Instance'!$G:$G,'By Instance'!$E:$E,A264,'By Instance'!$C:$C,C264))</f>
        <v/>
      </c>
      <c r="F264" s="6">
        <f>IF(OR(E264="",E264=0,G264=""),"",G264/E264)</f>
        <v/>
      </c>
      <c r="G264" s="6">
        <f>IF(SUMIFS('By Instance'!$I:$I,'By Instance'!$E:$E,A264,'By Instance'!$C:$C,C264)=0,"",SUMIFS('By Instance'!$I:$I,'By Instance'!$E:$E,A264,'By Instance'!$C:$C,C264))</f>
        <v/>
      </c>
    </row>
    <row r="265">
      <c r="A265" s="2" t="inlineStr">
        <is>
          <t>QCLL0111</t>
        </is>
      </c>
      <c r="B265" s="3" t="inlineStr">
        <is>
          <t>CERRADURA MANILLA EMBUTIDA SCANAVINI 1054 - AN</t>
        </is>
      </c>
      <c r="C265" s="3" t="inlineStr">
        <is>
          <t>General</t>
        </is>
      </c>
      <c r="D265" s="3" t="inlineStr">
        <is>
          <t>UN</t>
        </is>
      </c>
      <c r="E265" s="4">
        <f>IF(SUMIFS('By Instance'!$G:$G,'By Instance'!$E:$E,A265,'By Instance'!$C:$C,C265)=0,"",SUMIFS('By Instance'!$G:$G,'By Instance'!$E:$E,A265,'By Instance'!$C:$C,C265))</f>
        <v/>
      </c>
      <c r="F265" s="6">
        <f>IF(OR(E265="",E265=0,G265=""),"",G265/E265)</f>
        <v/>
      </c>
      <c r="G265" s="6">
        <f>IF(SUMIFS('By Instance'!$I:$I,'By Instance'!$E:$E,A265,'By Instance'!$C:$C,C265)=0,"",SUMIFS('By Instance'!$I:$I,'By Instance'!$E:$E,A265,'By Instance'!$C:$C,C265))</f>
        <v/>
      </c>
    </row>
    <row r="266">
      <c r="A266" s="2" t="inlineStr">
        <is>
          <t>REVT0025</t>
        </is>
      </c>
      <c r="B266" s="3" t="inlineStr">
        <is>
          <t>MASTERWALL SAHARA HIDDEN WHITE 23KG</t>
        </is>
      </c>
      <c r="C266" s="3" t="inlineStr">
        <is>
          <t>General</t>
        </is>
      </c>
      <c r="D266" s="3" t="inlineStr">
        <is>
          <t>TN</t>
        </is>
      </c>
      <c r="E266" s="4">
        <f>IF(SUMIFS('By Instance'!$G:$G,'By Instance'!$E:$E,A266,'By Instance'!$C:$C,C266)=0,"",SUMIFS('By Instance'!$G:$G,'By Instance'!$E:$E,A266,'By Instance'!$C:$C,C266))</f>
        <v/>
      </c>
      <c r="F266" s="6">
        <f>IF(OR(E266="",E266=0,G266=""),"",G266/E266)</f>
        <v/>
      </c>
      <c r="G266" s="6">
        <f>IF(SUMIFS('By Instance'!$I:$I,'By Instance'!$E:$E,A266,'By Instance'!$C:$C,C266)=0,"",SUMIFS('By Instance'!$I:$I,'By Instance'!$E:$E,A266,'By Instance'!$C:$C,C266))</f>
        <v/>
      </c>
    </row>
    <row r="267">
      <c r="A267" s="2" t="inlineStr">
        <is>
          <t>REVT0037</t>
        </is>
      </c>
      <c r="B267" s="3" t="inlineStr">
        <is>
          <t>PASTA MURO INTERIOR F-15 25KG</t>
        </is>
      </c>
      <c r="C267" s="3" t="inlineStr">
        <is>
          <t>General</t>
        </is>
      </c>
      <c r="D267" s="3" t="inlineStr">
        <is>
          <t>TINETA</t>
        </is>
      </c>
      <c r="E267" s="4">
        <f>IF(SUMIFS('By Instance'!$G:$G,'By Instance'!$E:$E,A267,'By Instance'!$C:$C,C267)=0,"",SUMIFS('By Instance'!$G:$G,'By Instance'!$E:$E,A267,'By Instance'!$C:$C,C267))</f>
        <v/>
      </c>
      <c r="F267" s="6">
        <f>IF(OR(E267="",E267=0,G267=""),"",G267/E267)</f>
        <v/>
      </c>
      <c r="G267" s="6">
        <f>IF(SUMIFS('By Instance'!$I:$I,'By Instance'!$E:$E,A267,'By Instance'!$C:$C,C267)=0,"",SUMIFS('By Instance'!$I:$I,'By Instance'!$E:$E,A267,'By Instance'!$C:$C,C267))</f>
        <v/>
      </c>
    </row>
    <row r="268">
      <c r="A268" s="2" t="inlineStr">
        <is>
          <t>REVT0062</t>
        </is>
      </c>
      <c r="B268" s="3" t="inlineStr">
        <is>
          <t>REVESTIMIENTO MURO BAMBU HC127 - 240X40 CM  - 8UN/CJ</t>
        </is>
      </c>
      <c r="C268" s="3" t="inlineStr">
        <is>
          <t>General</t>
        </is>
      </c>
      <c r="D268" s="3" t="inlineStr">
        <is>
          <t>CAJA</t>
        </is>
      </c>
      <c r="E268" s="4">
        <f>IF(SUMIFS('By Instance'!$G:$G,'By Instance'!$E:$E,A268,'By Instance'!$C:$C,C268)=0,"",SUMIFS('By Instance'!$G:$G,'By Instance'!$E:$E,A268,'By Instance'!$C:$C,C268))</f>
        <v/>
      </c>
      <c r="F268" s="6">
        <f>IF(OR(E268="",E268=0,G268=""),"",G268/E268)</f>
        <v/>
      </c>
      <c r="G268" s="6">
        <f>IF(SUMIFS('By Instance'!$I:$I,'By Instance'!$E:$E,A268,'By Instance'!$C:$C,C268)=0,"",SUMIFS('By Instance'!$I:$I,'By Instance'!$E:$E,A268,'By Instance'!$C:$C,C268))</f>
        <v/>
      </c>
    </row>
    <row r="269">
      <c r="A269" s="2" t="inlineStr">
        <is>
          <t>REVT0078</t>
        </is>
      </c>
      <c r="B269" s="3" t="inlineStr">
        <is>
          <t>MALLA FABRIC MESH 46ML GRIS</t>
        </is>
      </c>
      <c r="C269" s="3" t="inlineStr">
        <is>
          <t>General</t>
        </is>
      </c>
      <c r="D269" s="3" t="inlineStr">
        <is>
          <t>ROLLO</t>
        </is>
      </c>
      <c r="E269" s="4">
        <f>IF(SUMIFS('By Instance'!$G:$G,'By Instance'!$E:$E,A269,'By Instance'!$C:$C,C269)=0,"",SUMIFS('By Instance'!$G:$G,'By Instance'!$E:$E,A269,'By Instance'!$C:$C,C269))</f>
        <v/>
      </c>
      <c r="F269" s="6">
        <f>IF(OR(E269="",E269=0,G269=""),"",G269/E269)</f>
        <v/>
      </c>
      <c r="G269" s="6">
        <f>IF(SUMIFS('By Instance'!$I:$I,'By Instance'!$E:$E,A269,'By Instance'!$C:$C,C269)=0,"",SUMIFS('By Instance'!$I:$I,'By Instance'!$E:$E,A269,'By Instance'!$C:$C,C269))</f>
        <v/>
      </c>
    </row>
    <row r="270">
      <c r="A270" s="2" t="inlineStr">
        <is>
          <t>REVT0090</t>
        </is>
      </c>
      <c r="B270" s="3" t="inlineStr">
        <is>
          <t>YESO 25KG</t>
        </is>
      </c>
      <c r="C270" s="3" t="inlineStr">
        <is>
          <t>General</t>
        </is>
      </c>
      <c r="D270" s="3" t="inlineStr">
        <is>
          <t>SACO</t>
        </is>
      </c>
      <c r="E270" s="4">
        <f>IF(SUMIFS('By Instance'!$G:$G,'By Instance'!$E:$E,A270,'By Instance'!$C:$C,C270)=0,"",SUMIFS('By Instance'!$G:$G,'By Instance'!$E:$E,A270,'By Instance'!$C:$C,C270))</f>
        <v/>
      </c>
      <c r="F270" s="6">
        <f>IF(OR(E270="",E270=0,G270=""),"",G270/E270)</f>
        <v/>
      </c>
      <c r="G270" s="6">
        <f>IF(SUMIFS('By Instance'!$I:$I,'By Instance'!$E:$E,A270,'By Instance'!$C:$C,C270)=0,"",SUMIFS('By Instance'!$I:$I,'By Instance'!$E:$E,A270,'By Instance'!$C:$C,C270))</f>
        <v/>
      </c>
    </row>
    <row r="271">
      <c r="A271" s="2" t="inlineStr">
        <is>
          <t>REVT0147</t>
        </is>
      </c>
      <c r="B271" s="3" t="inlineStr">
        <is>
          <t>BARNIZ VITRIFICANTE POLIURETANO GALON</t>
        </is>
      </c>
      <c r="C271" s="3" t="inlineStr">
        <is>
          <t>General</t>
        </is>
      </c>
      <c r="D271" s="3" t="inlineStr">
        <is>
          <t>UN</t>
        </is>
      </c>
      <c r="E271" s="4">
        <f>IF(SUMIFS('By Instance'!$G:$G,'By Instance'!$E:$E,A271,'By Instance'!$C:$C,C271)=0,"",SUMIFS('By Instance'!$G:$G,'By Instance'!$E:$E,A271,'By Instance'!$C:$C,C271))</f>
        <v/>
      </c>
      <c r="F271" s="6">
        <f>IF(OR(E271="",E271=0,G271=""),"",G271/E271)</f>
        <v/>
      </c>
      <c r="G271" s="6">
        <f>IF(SUMIFS('By Instance'!$I:$I,'By Instance'!$E:$E,A271,'By Instance'!$C:$C,C271)=0,"",SUMIFS('By Instance'!$I:$I,'By Instance'!$E:$E,A271,'By Instance'!$C:$C,C271))</f>
        <v/>
      </c>
    </row>
    <row r="272">
      <c r="A272" s="2" t="inlineStr">
        <is>
          <t>REVT0199</t>
        </is>
      </c>
      <c r="B272" s="3" t="inlineStr">
        <is>
          <t>HOLZMASSE: MASILLA B/SOLV. 1K MADERA NATURAL 08 75</t>
        </is>
      </c>
      <c r="C272" s="3" t="inlineStr">
        <is>
          <t>General</t>
        </is>
      </c>
      <c r="D272" s="3" t="inlineStr">
        <is>
          <t>UN</t>
        </is>
      </c>
      <c r="E272" s="4">
        <f>IF(SUMIFS('By Instance'!$G:$G,'By Instance'!$E:$E,A272,'By Instance'!$C:$C,C272)=0,"",SUMIFS('By Instance'!$G:$G,'By Instance'!$E:$E,A272,'By Instance'!$C:$C,C272))</f>
        <v/>
      </c>
      <c r="F272" s="6">
        <f>IF(OR(E272="",E272=0,G272=""),"",G272/E272)</f>
        <v/>
      </c>
      <c r="G272" s="6">
        <f>IF(SUMIFS('By Instance'!$I:$I,'By Instance'!$E:$E,A272,'By Instance'!$C:$C,C272)=0,"",SUMIFS('By Instance'!$I:$I,'By Instance'!$E:$E,A272,'By Instance'!$C:$C,C272))</f>
        <v/>
      </c>
    </row>
    <row r="273">
      <c r="A273" s="2" t="inlineStr">
        <is>
          <t>REVT0249</t>
        </is>
      </c>
      <c r="B273" s="3" t="inlineStr">
        <is>
          <t>ESMALTE PATAGUAL 250 GALONES</t>
        </is>
      </c>
      <c r="C273" s="3" t="inlineStr">
        <is>
          <t>General</t>
        </is>
      </c>
      <c r="D273" s="3" t="inlineStr">
        <is>
          <t>LTS</t>
        </is>
      </c>
      <c r="E273" s="4">
        <f>IF(SUMIFS('By Instance'!$G:$G,'By Instance'!$E:$E,A273,'By Instance'!$C:$C,C273)=0,"",SUMIFS('By Instance'!$G:$G,'By Instance'!$E:$E,A273,'By Instance'!$C:$C,C273))</f>
        <v/>
      </c>
      <c r="F273" s="6">
        <f>IF(OR(E273="",E273=0,G273=""),"",G273/E273)</f>
        <v/>
      </c>
      <c r="G273" s="6">
        <f>IF(SUMIFS('By Instance'!$I:$I,'By Instance'!$E:$E,A273,'By Instance'!$C:$C,C273)=0,"",SUMIFS('By Instance'!$I:$I,'By Instance'!$E:$E,A273,'By Instance'!$C:$C,C273))</f>
        <v/>
      </c>
    </row>
    <row r="274">
      <c r="A274" s="2" t="inlineStr">
        <is>
          <t>REVT0255</t>
        </is>
      </c>
      <c r="B274" s="3" t="inlineStr">
        <is>
          <t>PUTTY W.B. FACE 264 SA/HEMLOCK</t>
        </is>
      </c>
      <c r="C274" s="3" t="inlineStr">
        <is>
          <t>General</t>
        </is>
      </c>
      <c r="D274" s="3" t="inlineStr">
        <is>
          <t>TINETA</t>
        </is>
      </c>
      <c r="E274" s="4">
        <f>IF(SUMIFS('By Instance'!$G:$G,'By Instance'!$E:$E,A274,'By Instance'!$C:$C,C274)=0,"",SUMIFS('By Instance'!$G:$G,'By Instance'!$E:$E,A274,'By Instance'!$C:$C,C274))</f>
        <v/>
      </c>
      <c r="F274" s="6">
        <f>IF(OR(E274="",E274=0,G274=""),"",G274/E274)</f>
        <v/>
      </c>
      <c r="G274" s="6">
        <f>IF(SUMIFS('By Instance'!$I:$I,'By Instance'!$E:$E,A274,'By Instance'!$C:$C,C274)=0,"",SUMIFS('By Instance'!$I:$I,'By Instance'!$E:$E,A274,'By Instance'!$C:$C,C274))</f>
        <v/>
      </c>
    </row>
    <row r="275">
      <c r="A275" s="2" t="inlineStr">
        <is>
          <t>REVT0258</t>
        </is>
      </c>
      <c r="B275" s="3" t="inlineStr">
        <is>
          <t>ESMALTE HAF: HIDROFUGANTE AUTOLIMPIANTE - ANTIFUNGI AZUL RFS</t>
        </is>
      </c>
      <c r="C275" s="3" t="inlineStr">
        <is>
          <t>General</t>
        </is>
      </c>
      <c r="D275" s="3" t="inlineStr">
        <is>
          <t>TINETA</t>
        </is>
      </c>
      <c r="E275" s="4">
        <f>IF(SUMIFS('By Instance'!$G:$G,'By Instance'!$E:$E,A275,'By Instance'!$C:$C,C275)=0,"",SUMIFS('By Instance'!$G:$G,'By Instance'!$E:$E,A275,'By Instance'!$C:$C,C275))</f>
        <v/>
      </c>
      <c r="F275" s="6">
        <f>IF(OR(E275="",E275=0,G275=""),"",G275/E275)</f>
        <v/>
      </c>
      <c r="G275" s="6">
        <f>IF(SUMIFS('By Instance'!$I:$I,'By Instance'!$E:$E,A275,'By Instance'!$C:$C,C275)=0,"",SUMIFS('By Instance'!$I:$I,'By Instance'!$E:$E,A275,'By Instance'!$C:$C,C275))</f>
        <v/>
      </c>
    </row>
    <row r="276">
      <c r="A276" s="2" t="inlineStr">
        <is>
          <t>REVT0259</t>
        </is>
      </c>
      <c r="B276" s="3" t="inlineStr">
        <is>
          <t>ESMALTE HAF: HIDROFUGANTE AUTOLIMPIANTE - VERDE RF RFS0427</t>
        </is>
      </c>
      <c r="C276" s="3" t="inlineStr">
        <is>
          <t>General</t>
        </is>
      </c>
      <c r="D276" s="3" t="inlineStr">
        <is>
          <t>TINETA</t>
        </is>
      </c>
      <c r="E276" s="4">
        <f>IF(SUMIFS('By Instance'!$G:$G,'By Instance'!$E:$E,A276,'By Instance'!$C:$C,C276)=0,"",SUMIFS('By Instance'!$G:$G,'By Instance'!$E:$E,A276,'By Instance'!$C:$C,C276))</f>
        <v/>
      </c>
      <c r="F276" s="6">
        <f>IF(OR(E276="",E276=0,G276=""),"",G276/E276)</f>
        <v/>
      </c>
      <c r="G276" s="6">
        <f>IF(SUMIFS('By Instance'!$I:$I,'By Instance'!$E:$E,A276,'By Instance'!$C:$C,C276)=0,"",SUMIFS('By Instance'!$I:$I,'By Instance'!$E:$E,A276,'By Instance'!$C:$C,C276))</f>
        <v/>
      </c>
    </row>
    <row r="277">
      <c r="A277" s="2" t="inlineStr">
        <is>
          <t>REVT0260</t>
        </is>
      </c>
      <c r="B277" s="3" t="inlineStr">
        <is>
          <t>ESMALTE HAF: HIDROFUGANTE AUTOLIMPIANTE - AMARILLO RFS0869</t>
        </is>
      </c>
      <c r="C277" s="3" t="inlineStr">
        <is>
          <t>General</t>
        </is>
      </c>
      <c r="D277" s="3" t="inlineStr">
        <is>
          <t>TINETA</t>
        </is>
      </c>
      <c r="E277" s="4">
        <f>IF(SUMIFS('By Instance'!$G:$G,'By Instance'!$E:$E,A277,'By Instance'!$C:$C,C277)=0,"",SUMIFS('By Instance'!$G:$G,'By Instance'!$E:$E,A277,'By Instance'!$C:$C,C277))</f>
        <v/>
      </c>
      <c r="F277" s="6">
        <f>IF(OR(E277="",E277=0,G277=""),"",G277/E277)</f>
        <v/>
      </c>
      <c r="G277" s="6">
        <f>IF(SUMIFS('By Instance'!$I:$I,'By Instance'!$E:$E,A277,'By Instance'!$C:$C,C277)=0,"",SUMIFS('By Instance'!$I:$I,'By Instance'!$E:$E,A277,'By Instance'!$C:$C,C277))</f>
        <v/>
      </c>
    </row>
    <row r="278">
      <c r="A278" s="2" t="inlineStr">
        <is>
          <t>REVT0261</t>
        </is>
      </c>
      <c r="B278" s="3" t="inlineStr">
        <is>
          <t>ESMALTE HAF: HIDROFUGANTE AUTOLIMPIANTE - BLANCO RFR 9003</t>
        </is>
      </c>
      <c r="C278" s="3" t="inlineStr">
        <is>
          <t>General</t>
        </is>
      </c>
      <c r="D278" s="3" t="inlineStr">
        <is>
          <t>TINETA</t>
        </is>
      </c>
      <c r="E278" s="4">
        <f>IF(SUMIFS('By Instance'!$G:$G,'By Instance'!$E:$E,A278,'By Instance'!$C:$C,C278)=0,"",SUMIFS('By Instance'!$G:$G,'By Instance'!$E:$E,A278,'By Instance'!$C:$C,C278))</f>
        <v/>
      </c>
      <c r="F278" s="6">
        <f>IF(OR(E278="",E278=0,G278=""),"",G278/E278)</f>
        <v/>
      </c>
      <c r="G278" s="6">
        <f>IF(SUMIFS('By Instance'!$I:$I,'By Instance'!$E:$E,A278,'By Instance'!$C:$C,C278)=0,"",SUMIFS('By Instance'!$I:$I,'By Instance'!$E:$E,A278,'By Instance'!$C:$C,C278))</f>
        <v/>
      </c>
    </row>
    <row r="279">
      <c r="A279" s="2" t="inlineStr">
        <is>
          <t>SELL0003</t>
        </is>
      </c>
      <c r="B279" s="3" t="inlineStr">
        <is>
          <t>ESPUMA DE POLIURETANO EP3000 750ML</t>
        </is>
      </c>
      <c r="C279" s="3" t="inlineStr">
        <is>
          <t>General</t>
        </is>
      </c>
      <c r="D279" s="3" t="inlineStr">
        <is>
          <t>UN</t>
        </is>
      </c>
      <c r="E279" s="4">
        <f>IF(SUMIFS('By Instance'!$G:$G,'By Instance'!$E:$E,A279,'By Instance'!$C:$C,C279)=0,"",SUMIFS('By Instance'!$G:$G,'By Instance'!$E:$E,A279,'By Instance'!$C:$C,C279))</f>
        <v/>
      </c>
      <c r="F279" s="6">
        <f>IF(OR(E279="",E279=0,G279=""),"",G279/E279)</f>
        <v/>
      </c>
      <c r="G279" s="6">
        <f>IF(SUMIFS('By Instance'!$I:$I,'By Instance'!$E:$E,A279,'By Instance'!$C:$C,C279)=0,"",SUMIFS('By Instance'!$I:$I,'By Instance'!$E:$E,A279,'By Instance'!$C:$C,C279))</f>
        <v/>
      </c>
    </row>
    <row r="280">
      <c r="A280" s="2" t="inlineStr">
        <is>
          <t>SELL0023</t>
        </is>
      </c>
      <c r="B280" s="3" t="inlineStr">
        <is>
          <t>SELLADOR ACRILICO PINTABLE</t>
        </is>
      </c>
      <c r="C280" s="3" t="inlineStr">
        <is>
          <t>General</t>
        </is>
      </c>
      <c r="D280" s="3" t="inlineStr">
        <is>
          <t>UN</t>
        </is>
      </c>
      <c r="E280" s="4">
        <f>IF(SUMIFS('By Instance'!$G:$G,'By Instance'!$E:$E,A280,'By Instance'!$C:$C,C280)=0,"",SUMIFS('By Instance'!$G:$G,'By Instance'!$E:$E,A280,'By Instance'!$C:$C,C280))</f>
        <v/>
      </c>
      <c r="F280" s="6">
        <f>IF(OR(E280="",E280=0,G280=""),"",G280/E280)</f>
        <v/>
      </c>
      <c r="G280" s="6">
        <f>IF(SUMIFS('By Instance'!$I:$I,'By Instance'!$E:$E,A280,'By Instance'!$C:$C,C280)=0,"",SUMIFS('By Instance'!$I:$I,'By Instance'!$E:$E,A280,'By Instance'!$C:$C,C280))</f>
        <v/>
      </c>
    </row>
    <row r="281">
      <c r="A281" s="2" t="inlineStr">
        <is>
          <t>SELL0025</t>
        </is>
      </c>
      <c r="B281" s="3" t="inlineStr">
        <is>
          <t>SIGNO 60MM X 25M (FLASHING TAPE)</t>
        </is>
      </c>
      <c r="C281" s="3" t="inlineStr">
        <is>
          <t>General</t>
        </is>
      </c>
      <c r="D281" s="3" t="inlineStr">
        <is>
          <t>ROLLO</t>
        </is>
      </c>
      <c r="E281" s="4">
        <f>IF(SUMIFS('By Instance'!$G:$G,'By Instance'!$E:$E,A281,'By Instance'!$C:$C,C281)=0,"",SUMIFS('By Instance'!$G:$G,'By Instance'!$E:$E,A281,'By Instance'!$C:$C,C281))</f>
        <v/>
      </c>
      <c r="F281" s="6">
        <f>IF(OR(E281="",E281=0,G281=""),"",G281/E281)</f>
        <v/>
      </c>
      <c r="G281" s="6">
        <f>IF(SUMIFS('By Instance'!$I:$I,'By Instance'!$E:$E,A281,'By Instance'!$C:$C,C281)=0,"",SUMIFS('By Instance'!$I:$I,'By Instance'!$E:$E,A281,'By Instance'!$C:$C,C281))</f>
        <v/>
      </c>
    </row>
    <row r="282">
      <c r="A282" s="2" t="inlineStr">
        <is>
          <t>SELL0040</t>
        </is>
      </c>
      <c r="B282" s="3" t="inlineStr">
        <is>
          <t>DYNAFLEX 230 PREMIUM CARTUCHO</t>
        </is>
      </c>
      <c r="C282" s="3" t="inlineStr">
        <is>
          <t>General</t>
        </is>
      </c>
      <c r="D282" s="3" t="inlineStr">
        <is>
          <t>UN</t>
        </is>
      </c>
      <c r="E282" s="4">
        <f>IF(SUMIFS('By Instance'!$G:$G,'By Instance'!$E:$E,A282,'By Instance'!$C:$C,C282)=0,"",SUMIFS('By Instance'!$G:$G,'By Instance'!$E:$E,A282,'By Instance'!$C:$C,C282))</f>
        <v/>
      </c>
      <c r="F282" s="6">
        <f>IF(OR(E282="",E282=0,G282=""),"",G282/E282)</f>
        <v/>
      </c>
      <c r="G282" s="6">
        <f>IF(SUMIFS('By Instance'!$I:$I,'By Instance'!$E:$E,A282,'By Instance'!$C:$C,C282)=0,"",SUMIFS('By Instance'!$I:$I,'By Instance'!$E:$E,A282,'By Instance'!$C:$C,C282))</f>
        <v/>
      </c>
    </row>
    <row r="283">
      <c r="A283" s="2" t="inlineStr">
        <is>
          <t>SELL0045</t>
        </is>
      </c>
      <c r="B283" s="3" t="inlineStr">
        <is>
          <t>ADHESIVO DE MONTAJE MULTIPROPOSITO 850 - HEAVY DUTY</t>
        </is>
      </c>
      <c r="C283" s="3" t="inlineStr">
        <is>
          <t>General</t>
        </is>
      </c>
      <c r="D283" s="3" t="inlineStr">
        <is>
          <t>UN</t>
        </is>
      </c>
      <c r="E283" s="4">
        <f>IF(SUMIFS('By Instance'!$G:$G,'By Instance'!$E:$E,A283,'By Instance'!$C:$C,C283)=0,"",SUMIFS('By Instance'!$G:$G,'By Instance'!$E:$E,A283,'By Instance'!$C:$C,C283))</f>
        <v/>
      </c>
      <c r="F283" s="6">
        <f>IF(OR(E283="",E283=0,G283=""),"",G283/E283)</f>
        <v/>
      </c>
      <c r="G283" s="6">
        <f>IF(SUMIFS('By Instance'!$I:$I,'By Instance'!$E:$E,A283,'By Instance'!$C:$C,C283)=0,"",SUMIFS('By Instance'!$I:$I,'By Instance'!$E:$E,A283,'By Instance'!$C:$C,C283))</f>
        <v/>
      </c>
    </row>
    <row r="284">
      <c r="A284" s="2" t="inlineStr">
        <is>
          <t>SELL0051</t>
        </is>
      </c>
      <c r="B284" s="3" t="inlineStr">
        <is>
          <t>SIKASIL IN BLANCO CARTUCHO X 280ML</t>
        </is>
      </c>
      <c r="C284" s="3" t="inlineStr">
        <is>
          <t>General</t>
        </is>
      </c>
      <c r="D284" s="3" t="inlineStr">
        <is>
          <t>UN</t>
        </is>
      </c>
      <c r="E284" s="4">
        <f>IF(SUMIFS('By Instance'!$G:$G,'By Instance'!$E:$E,A284,'By Instance'!$C:$C,C284)=0,"",SUMIFS('By Instance'!$G:$G,'By Instance'!$E:$E,A284,'By Instance'!$C:$C,C284))</f>
        <v/>
      </c>
      <c r="F284" s="6">
        <f>IF(OR(E284="",E284=0,G284=""),"",G284/E284)</f>
        <v/>
      </c>
      <c r="G284" s="6">
        <f>IF(SUMIFS('By Instance'!$I:$I,'By Instance'!$E:$E,A284,'By Instance'!$C:$C,C284)=0,"",SUMIFS('By Instance'!$I:$I,'By Instance'!$E:$E,A284,'By Instance'!$C:$C,C284))</f>
        <v/>
      </c>
    </row>
    <row r="285">
      <c r="A285" s="2" t="inlineStr">
        <is>
          <t>SELL0062</t>
        </is>
      </c>
      <c r="B285" s="3" t="inlineStr">
        <is>
          <t>SIKAFLEX 221 BLANCO 600CC PATE</t>
        </is>
      </c>
      <c r="C285" s="3" t="inlineStr">
        <is>
          <t>General</t>
        </is>
      </c>
      <c r="D285" s="3" t="inlineStr">
        <is>
          <t>UN</t>
        </is>
      </c>
      <c r="E285" s="4">
        <f>IF(SUMIFS('By Instance'!$G:$G,'By Instance'!$E:$E,A285,'By Instance'!$C:$C,C285)=0,"",SUMIFS('By Instance'!$G:$G,'By Instance'!$E:$E,A285,'By Instance'!$C:$C,C285))</f>
        <v/>
      </c>
      <c r="F285" s="6">
        <f>IF(OR(E285="",E285=0,G285=""),"",G285/E285)</f>
        <v/>
      </c>
      <c r="G285" s="6">
        <f>IF(SUMIFS('By Instance'!$I:$I,'By Instance'!$E:$E,A285,'By Instance'!$C:$C,C285)=0,"",SUMIFS('By Instance'!$I:$I,'By Instance'!$E:$E,A285,'By Instance'!$C:$C,C285))</f>
        <v/>
      </c>
    </row>
    <row r="286">
      <c r="A286" s="2" t="inlineStr">
        <is>
          <t>SELL0064</t>
        </is>
      </c>
      <c r="B286" s="3" t="inlineStr">
        <is>
          <t>ESPUMA POLIURETANO ADHESIVA EP7000 750 ML (GUN GRADE)</t>
        </is>
      </c>
      <c r="C286" s="3" t="inlineStr">
        <is>
          <t>General</t>
        </is>
      </c>
      <c r="D286" s="3" t="inlineStr">
        <is>
          <t>UN</t>
        </is>
      </c>
      <c r="E286" s="4">
        <f>IF(SUMIFS('By Instance'!$G:$G,'By Instance'!$E:$E,A286,'By Instance'!$C:$C,C286)=0,"",SUMIFS('By Instance'!$G:$G,'By Instance'!$E:$E,A286,'By Instance'!$C:$C,C286))</f>
        <v/>
      </c>
      <c r="F286" s="6">
        <f>IF(OR(E286="",E286=0,G286=""),"",G286/E286)</f>
        <v/>
      </c>
      <c r="G286" s="6">
        <f>IF(SUMIFS('By Instance'!$I:$I,'By Instance'!$E:$E,A286,'By Instance'!$C:$C,C286)=0,"",SUMIFS('By Instance'!$I:$I,'By Instance'!$E:$E,A286,'By Instance'!$C:$C,C286))</f>
        <v/>
      </c>
    </row>
    <row r="287">
      <c r="A287" s="2" t="inlineStr">
        <is>
          <t>VARI0061</t>
        </is>
      </c>
      <c r="B287" s="3" t="inlineStr">
        <is>
          <t>HOJA REPUESTO CARTONERO ANCHO</t>
        </is>
      </c>
      <c r="C287" s="3" t="inlineStr">
        <is>
          <t>General</t>
        </is>
      </c>
      <c r="D287" s="3" t="inlineStr">
        <is>
          <t>UN</t>
        </is>
      </c>
      <c r="E287" s="4">
        <f>IF(SUMIFS('By Instance'!$G:$G,'By Instance'!$E:$E,A287,'By Instance'!$C:$C,C287)=0,"",SUMIFS('By Instance'!$G:$G,'By Instance'!$E:$E,A287,'By Instance'!$C:$C,C287))</f>
        <v/>
      </c>
      <c r="F287" s="6">
        <f>IF(OR(E287="",E287=0,G287=""),"",G287/E287)</f>
        <v/>
      </c>
      <c r="G287" s="6">
        <f>IF(SUMIFS('By Instance'!$I:$I,'By Instance'!$E:$E,A287,'By Instance'!$C:$C,C287)=0,"",SUMIFS('By Instance'!$I:$I,'By Instance'!$E:$E,A287,'By Instance'!$C:$C,C287))</f>
        <v/>
      </c>
    </row>
    <row r="288">
      <c r="A288" s="2" t="inlineStr">
        <is>
          <t>VARI0076</t>
        </is>
      </c>
      <c r="B288" s="3" t="inlineStr">
        <is>
          <t>MALLA MOSQUETERA PLASTICA BLANCA 1,25X30MTS</t>
        </is>
      </c>
      <c r="C288" s="3" t="inlineStr">
        <is>
          <t>General</t>
        </is>
      </c>
      <c r="D288" s="3" t="inlineStr">
        <is>
          <t>ROLLO</t>
        </is>
      </c>
      <c r="E288" s="4">
        <f>IF(SUMIFS('By Instance'!$G:$G,'By Instance'!$E:$E,A288,'By Instance'!$C:$C,C288)=0,"",SUMIFS('By Instance'!$G:$G,'By Instance'!$E:$E,A288,'By Instance'!$C:$C,C288))</f>
        <v/>
      </c>
      <c r="F288" s="6">
        <f>IF(OR(E288="",E288=0,G288=""),"",G288/E288)</f>
        <v/>
      </c>
      <c r="G288" s="6">
        <f>IF(SUMIFS('By Instance'!$I:$I,'By Instance'!$E:$E,A288,'By Instance'!$C:$C,C288)=0,"",SUMIFS('By Instance'!$I:$I,'By Instance'!$E:$E,A288,'By Instance'!$C:$C,C288))</f>
        <v/>
      </c>
    </row>
    <row r="289">
      <c r="A289" s="2" t="inlineStr">
        <is>
          <t>VARI0103</t>
        </is>
      </c>
      <c r="B289" s="3" t="inlineStr">
        <is>
          <t>PUNTA MAGNETICA 5/16 8MMX65MM</t>
        </is>
      </c>
      <c r="C289" s="3" t="inlineStr">
        <is>
          <t>General</t>
        </is>
      </c>
      <c r="D289" s="3" t="inlineStr">
        <is>
          <t>UN</t>
        </is>
      </c>
      <c r="E289" s="4">
        <f>IF(SUMIFS('By Instance'!$G:$G,'By Instance'!$E:$E,A289,'By Instance'!$C:$C,C289)=0,"",SUMIFS('By Instance'!$G:$G,'By Instance'!$E:$E,A289,'By Instance'!$C:$C,C289))</f>
        <v/>
      </c>
      <c r="F289" s="6">
        <f>IF(OR(E289="",E289=0,G289=""),"",G289/E289)</f>
        <v/>
      </c>
      <c r="G289" s="6">
        <f>IF(SUMIFS('By Instance'!$I:$I,'By Instance'!$E:$E,A289,'By Instance'!$C:$C,C289)=0,"",SUMIFS('By Instance'!$I:$I,'By Instance'!$E:$E,A289,'By Instance'!$C:$C,C289))</f>
        <v/>
      </c>
    </row>
    <row r="290">
      <c r="A290" s="2" t="inlineStr">
        <is>
          <t>VARI0144</t>
        </is>
      </c>
      <c r="B290" s="3" t="inlineStr">
        <is>
          <t>PROTECCIÓN GRADA ALUMINIO MATE 6ML</t>
        </is>
      </c>
      <c r="C290" s="3" t="inlineStr">
        <is>
          <t>General</t>
        </is>
      </c>
      <c r="D290" s="3" t="inlineStr">
        <is>
          <t>UN</t>
        </is>
      </c>
      <c r="E290" s="4">
        <f>IF(SUMIFS('By Instance'!$G:$G,'By Instance'!$E:$E,A290,'By Instance'!$C:$C,C290)=0,"",SUMIFS('By Instance'!$G:$G,'By Instance'!$E:$E,A290,'By Instance'!$C:$C,C290))</f>
        <v/>
      </c>
      <c r="F290" s="6">
        <f>IF(OR(E290="",E290=0,G290=""),"",G290/E290)</f>
        <v/>
      </c>
      <c r="G290" s="6">
        <f>IF(SUMIFS('By Instance'!$I:$I,'By Instance'!$E:$E,A290,'By Instance'!$C:$C,C290)=0,"",SUMIFS('By Instance'!$I:$I,'By Instance'!$E:$E,A290,'By Instance'!$C:$C,C290))</f>
        <v/>
      </c>
    </row>
    <row r="291">
      <c r="A291" s="2" t="inlineStr">
        <is>
          <t>VARI0379</t>
        </is>
      </c>
      <c r="B291" s="3" t="inlineStr">
        <is>
          <t>POLIETILENO TRANSPARENTE 200 MICRAS 3 PARA 6 MTS PH</t>
        </is>
      </c>
      <c r="C291" s="3" t="inlineStr">
        <is>
          <t>General</t>
        </is>
      </c>
      <c r="D291" s="3" t="inlineStr">
        <is>
          <t>ROLLO</t>
        </is>
      </c>
      <c r="E291" s="4">
        <f>IF(SUMIFS('By Instance'!$G:$G,'By Instance'!$E:$E,A291,'By Instance'!$C:$C,C291)=0,"",SUMIFS('By Instance'!$G:$G,'By Instance'!$E:$E,A291,'By Instance'!$C:$C,C291))</f>
        <v/>
      </c>
      <c r="F291" s="6">
        <f>IF(OR(E291="",E291=0,G291=""),"",G291/E291)</f>
        <v/>
      </c>
      <c r="G291" s="6">
        <f>IF(SUMIFS('By Instance'!$I:$I,'By Instance'!$E:$E,A291,'By Instance'!$C:$C,C291)=0,"",SUMIFS('By Instance'!$I:$I,'By Instance'!$E:$E,A291,'By Instance'!$C:$C,C291))</f>
        <v/>
      </c>
    </row>
    <row r="292">
      <c r="A292" s="2" t="inlineStr">
        <is>
          <t>VENT0156</t>
        </is>
      </c>
      <c r="B292" s="3" t="inlineStr">
        <is>
          <t>V1 1180X1700 LINEA AMAERICANA DS49</t>
        </is>
      </c>
      <c r="C292" s="3" t="inlineStr">
        <is>
          <t>General</t>
        </is>
      </c>
      <c r="D292" s="3" t="inlineStr">
        <is>
          <t>UN</t>
        </is>
      </c>
      <c r="E292" s="4">
        <f>IF(SUMIFS('By Instance'!$G:$G,'By Instance'!$E:$E,A292,'By Instance'!$C:$C,C292)=0,"",SUMIFS('By Instance'!$G:$G,'By Instance'!$E:$E,A292,'By Instance'!$C:$C,C292))</f>
        <v/>
      </c>
      <c r="F292" s="6">
        <f>IF(OR(E292="",E292=0,G292=""),"",G292/E292)</f>
        <v/>
      </c>
      <c r="G292" s="6">
        <f>IF(SUMIFS('By Instance'!$I:$I,'By Instance'!$E:$E,A292,'By Instance'!$C:$C,C292)=0,"",SUMIFS('By Instance'!$I:$I,'By Instance'!$E:$E,A292,'By Instance'!$C:$C,C292))</f>
        <v/>
      </c>
    </row>
    <row r="293">
      <c r="A293" s="2" t="inlineStr">
        <is>
          <t>VENT0157</t>
        </is>
      </c>
      <c r="B293" s="3" t="inlineStr">
        <is>
          <t>V2 550X900 LINEA AMAERICANA DS49</t>
        </is>
      </c>
      <c r="C293" s="3" t="inlineStr">
        <is>
          <t>General</t>
        </is>
      </c>
      <c r="D293" s="3" t="inlineStr">
        <is>
          <t>UN</t>
        </is>
      </c>
      <c r="E293" s="4">
        <f>IF(SUMIFS('By Instance'!$G:$G,'By Instance'!$E:$E,A293,'By Instance'!$C:$C,C293)=0,"",SUMIFS('By Instance'!$G:$G,'By Instance'!$E:$E,A293,'By Instance'!$C:$C,C293))</f>
        <v/>
      </c>
      <c r="F293" s="6">
        <f>IF(OR(E293="",E293=0,G293=""),"",G293/E293)</f>
        <v/>
      </c>
      <c r="G293" s="6">
        <f>IF(SUMIFS('By Instance'!$I:$I,'By Instance'!$E:$E,A293,'By Instance'!$C:$C,C293)=0,"",SUMIFS('By Instance'!$I:$I,'By Instance'!$E:$E,A293,'By Instance'!$C:$C,C293))</f>
        <v/>
      </c>
    </row>
    <row r="294">
      <c r="A294" s="2" t="inlineStr">
        <is>
          <t>VENT0158</t>
        </is>
      </c>
      <c r="B294" s="3" t="inlineStr">
        <is>
          <t>V2 550X900 BAÑO LINEA AMAERICANA DS49</t>
        </is>
      </c>
      <c r="C294" s="3" t="inlineStr">
        <is>
          <t>General</t>
        </is>
      </c>
      <c r="D294" s="3" t="inlineStr">
        <is>
          <t>UN</t>
        </is>
      </c>
      <c r="E294" s="4">
        <f>IF(SUMIFS('By Instance'!$G:$G,'By Instance'!$E:$E,A294,'By Instance'!$C:$C,C294)=0,"",SUMIFS('By Instance'!$G:$G,'By Instance'!$E:$E,A294,'By Instance'!$C:$C,C294))</f>
        <v/>
      </c>
      <c r="F294" s="6">
        <f>IF(OR(E294="",E294=0,G294=""),"",G294/E294)</f>
        <v/>
      </c>
      <c r="G294" s="6">
        <f>IF(SUMIFS('By Instance'!$I:$I,'By Instance'!$E:$E,A294,'By Instance'!$C:$C,C294)=0,"",SUMIFS('By Instance'!$I:$I,'By Instance'!$E:$E,A294,'By Instance'!$C:$C,C294))</f>
        <v/>
      </c>
    </row>
    <row r="295">
      <c r="A295" s="2" t="inlineStr">
        <is>
          <t>VENT0159</t>
        </is>
      </c>
      <c r="B295" s="3" t="inlineStr">
        <is>
          <t>V3 900X1300 LINEA AMAERICANA DS49</t>
        </is>
      </c>
      <c r="C295" s="3" t="inlineStr">
        <is>
          <t>General</t>
        </is>
      </c>
      <c r="D295" s="3" t="inlineStr">
        <is>
          <t>UN</t>
        </is>
      </c>
      <c r="E295" s="4">
        <f>IF(SUMIFS('By Instance'!$G:$G,'By Instance'!$E:$E,A295,'By Instance'!$C:$C,C295)=0,"",SUMIFS('By Instance'!$G:$G,'By Instance'!$E:$E,A295,'By Instance'!$C:$C,C295))</f>
        <v/>
      </c>
      <c r="F295" s="6">
        <f>IF(OR(E295="",E295=0,G295=""),"",G295/E295)</f>
        <v/>
      </c>
      <c r="G295" s="6">
        <f>IF(SUMIFS('By Instance'!$I:$I,'By Instance'!$E:$E,A295,'By Instance'!$C:$C,C295)=0,"",SUMIFS('By Instance'!$I:$I,'By Instance'!$E:$E,A295,'By Instance'!$C:$C,C295))</f>
        <v/>
      </c>
    </row>
    <row r="296">
      <c r="A296" s="2" t="inlineStr">
        <is>
          <t>VENT0160</t>
        </is>
      </c>
      <c r="B296" s="3" t="inlineStr">
        <is>
          <t>V4 1180X1300 LINEA AMAERICANA DS49</t>
        </is>
      </c>
      <c r="C296" s="3" t="inlineStr">
        <is>
          <t>General</t>
        </is>
      </c>
      <c r="D296" s="3" t="inlineStr">
        <is>
          <t>UN</t>
        </is>
      </c>
      <c r="E296" s="4">
        <f>IF(SUMIFS('By Instance'!$G:$G,'By Instance'!$E:$E,A296,'By Instance'!$C:$C,C296)=0,"",SUMIFS('By Instance'!$G:$G,'By Instance'!$E:$E,A296,'By Instance'!$C:$C,C296))</f>
        <v/>
      </c>
      <c r="F296" s="6">
        <f>IF(OR(E296="",E296=0,G296=""),"",G296/E296)</f>
        <v/>
      </c>
      <c r="G296" s="6">
        <f>IF(SUMIFS('By Instance'!$I:$I,'By Instance'!$E:$E,A296,'By Instance'!$C:$C,C296)=0,"",SUMIFS('By Instance'!$I:$I,'By Instance'!$E:$E,A296,'By Instance'!$C:$C,C296))</f>
        <v/>
      </c>
    </row>
    <row r="297">
      <c r="A297" s="2" t="inlineStr">
        <is>
          <t>VETI0017</t>
        </is>
      </c>
      <c r="B297" s="3" t="inlineStr">
        <is>
          <t>CELOSIA VENT. PLANA 023X023CM BLANCA</t>
        </is>
      </c>
      <c r="C297" s="3" t="inlineStr">
        <is>
          <t>General</t>
        </is>
      </c>
      <c r="D297" s="3" t="inlineStr">
        <is>
          <t>UN</t>
        </is>
      </c>
      <c r="E297" s="4">
        <f>IF(SUMIFS('By Instance'!$G:$G,'By Instance'!$E:$E,A297,'By Instance'!$C:$C,C297)=0,"",SUMIFS('By Instance'!$G:$G,'By Instance'!$E:$E,A297,'By Instance'!$C:$C,C297))</f>
        <v/>
      </c>
      <c r="F297" s="6">
        <f>IF(OR(E297="",E297=0,G297=""),"",G297/E297)</f>
        <v/>
      </c>
      <c r="G297" s="6">
        <f>IF(SUMIFS('By Instance'!$I:$I,'By Instance'!$E:$E,A297,'By Instance'!$C:$C,C297)=0,"",SUMIFS('By Instance'!$I:$I,'By Instance'!$E:$E,A297,'By Instance'!$C:$C,C297))</f>
        <v/>
      </c>
    </row>
    <row r="298">
      <c r="A298" s="2" t="inlineStr">
        <is>
          <t>VETI0025</t>
        </is>
      </c>
      <c r="B298" s="3" t="inlineStr">
        <is>
          <t>DUCTO PLASTICO PARA MURO 100mm X 100mm</t>
        </is>
      </c>
      <c r="C298" s="3" t="inlineStr">
        <is>
          <t>General</t>
        </is>
      </c>
      <c r="D298" s="3" t="inlineStr">
        <is>
          <t>UN</t>
        </is>
      </c>
      <c r="E298" s="4">
        <f>IF(SUMIFS('By Instance'!$G:$G,'By Instance'!$E:$E,A298,'By Instance'!$C:$C,C298)=0,"",SUMIFS('By Instance'!$G:$G,'By Instance'!$E:$E,A298,'By Instance'!$C:$C,C298))</f>
        <v/>
      </c>
      <c r="F298" s="6">
        <f>IF(OR(E298="",E298=0,G298=""),"",G298/E298)</f>
        <v/>
      </c>
      <c r="G298" s="6">
        <f>IF(SUMIFS('By Instance'!$I:$I,'By Instance'!$E:$E,A298,'By Instance'!$C:$C,C298)=0,"",SUMIFS('By Instance'!$I:$I,'By Instance'!$E:$E,A298,'By Instance'!$C:$C,C298))</f>
        <v/>
      </c>
    </row>
    <row r="299">
      <c r="A299" s="2" t="inlineStr">
        <is>
          <t>VETI0028</t>
        </is>
      </c>
      <c r="B299" s="3" t="inlineStr">
        <is>
          <t>EXTRACTOR RETON 100 BTH 12V INTERRUPTOR</t>
        </is>
      </c>
      <c r="C299" s="3" t="inlineStr">
        <is>
          <t>General</t>
        </is>
      </c>
      <c r="D299" s="3" t="inlineStr">
        <is>
          <t>UN</t>
        </is>
      </c>
      <c r="E299" s="4">
        <f>IF(SUMIFS('By Instance'!$G:$G,'By Instance'!$E:$E,A299,'By Instance'!$C:$C,C299)=0,"",SUMIFS('By Instance'!$G:$G,'By Instance'!$E:$E,A299,'By Instance'!$C:$C,C299))</f>
        <v/>
      </c>
      <c r="F299" s="6">
        <f>IF(OR(E299="",E299=0,G299=""),"",G299/E299)</f>
        <v/>
      </c>
      <c r="G299" s="6">
        <f>IF(SUMIFS('By Instance'!$I:$I,'By Instance'!$E:$E,A299,'By Instance'!$C:$C,C299)=0,"",SUMIFS('By Instance'!$I:$I,'By Instance'!$E:$E,A299,'By Instance'!$C:$C,C299))</f>
        <v/>
      </c>
    </row>
    <row r="300">
      <c r="A300" s="2" t="inlineStr">
        <is>
          <t>VETI0032</t>
        </is>
      </c>
      <c r="B300" s="3" t="inlineStr">
        <is>
          <t>EXTRACTOR RETON 150 BTH CON SENSOR</t>
        </is>
      </c>
      <c r="C300" s="3" t="inlineStr">
        <is>
          <t>General</t>
        </is>
      </c>
      <c r="D300" s="3" t="inlineStr">
        <is>
          <t>UN</t>
        </is>
      </c>
      <c r="E300" s="4">
        <f>IF(SUMIFS('By Instance'!$G:$G,'By Instance'!$E:$E,A300,'By Instance'!$C:$C,C300)=0,"",SUMIFS('By Instance'!$G:$G,'By Instance'!$E:$E,A300,'By Instance'!$C:$C,C300))</f>
        <v/>
      </c>
      <c r="F300" s="6">
        <f>IF(OR(E300="",E300=0,G300=""),"",G300/E300)</f>
        <v/>
      </c>
      <c r="G300" s="6">
        <f>IF(SUMIFS('By Instance'!$I:$I,'By Instance'!$E:$E,A300,'By Instance'!$C:$C,C300)=0,"",SUMIFS('By Instance'!$I:$I,'By Instance'!$E:$E,A300,'By Instance'!$C:$C,C300))</f>
        <v/>
      </c>
    </row>
    <row r="301">
      <c r="A301" s="2" t="inlineStr">
        <is>
          <t>VETI0034</t>
        </is>
      </c>
      <c r="B301" s="3" t="inlineStr">
        <is>
          <t>CELOSIA EXTERIOR WIND BAFFLE 100MM BLCA</t>
        </is>
      </c>
      <c r="C301" s="3" t="inlineStr">
        <is>
          <t>General</t>
        </is>
      </c>
      <c r="D301" s="3" t="inlineStr">
        <is>
          <t>UN</t>
        </is>
      </c>
      <c r="E301" s="4">
        <f>IF(SUMIFS('By Instance'!$G:$G,'By Instance'!$E:$E,A301,'By Instance'!$C:$C,C301)=0,"",SUMIFS('By Instance'!$G:$G,'By Instance'!$E:$E,A301,'By Instance'!$C:$C,C301))</f>
        <v/>
      </c>
      <c r="F301" s="6">
        <f>IF(OR(E301="",E301=0,G301=""),"",G301/E301)</f>
        <v/>
      </c>
      <c r="G301" s="6">
        <f>IF(SUMIFS('By Instance'!$I:$I,'By Instance'!$E:$E,A301,'By Instance'!$C:$C,C301)=0,"",SUMIFS('By Instance'!$I:$I,'By Instance'!$E:$E,A301,'By Instance'!$C:$C,C301))</f>
        <v/>
      </c>
    </row>
    <row r="302">
      <c r="A302" s="2" t="inlineStr">
        <is>
          <t>VETI0035</t>
        </is>
      </c>
      <c r="B302" s="3" t="inlineStr">
        <is>
          <t>VENT PASIVA JONAS 4 VERSION CUADRADA (F) CON TYFON</t>
        </is>
      </c>
      <c r="C302" s="3" t="inlineStr">
        <is>
          <t>General</t>
        </is>
      </c>
      <c r="D302" s="3" t="inlineStr">
        <is>
          <t>UN</t>
        </is>
      </c>
      <c r="E302" s="4">
        <f>IF(SUMIFS('By Instance'!$G:$G,'By Instance'!$E:$E,A302,'By Instance'!$C:$C,C302)=0,"",SUMIFS('By Instance'!$G:$G,'By Instance'!$E:$E,A302,'By Instance'!$C:$C,C302))</f>
        <v/>
      </c>
      <c r="F302" s="6">
        <f>IF(OR(E302="",E302=0,G302=""),"",G302/E302)</f>
        <v/>
      </c>
      <c r="G302" s="6">
        <f>IF(SUMIFS('By Instance'!$I:$I,'By Instance'!$E:$E,A302,'By Instance'!$C:$C,C302)=0,"",SUMIFS('By Instance'!$I:$I,'By Instance'!$E:$E,A302,'By Instance'!$C:$C,C302))</f>
        <v/>
      </c>
    </row>
    <row r="303">
      <c r="A303" s="2" t="inlineStr">
        <is>
          <t>VETI0042</t>
        </is>
      </c>
      <c r="B303" s="3" t="inlineStr">
        <is>
          <t>CELOSIA EXTERIOR WIND BAFFLE 150MM BLCA</t>
        </is>
      </c>
      <c r="C303" s="3" t="inlineStr">
        <is>
          <t>General</t>
        </is>
      </c>
      <c r="D303" s="3" t="inlineStr">
        <is>
          <t>UN</t>
        </is>
      </c>
      <c r="E303" s="4">
        <f>IF(SUMIFS('By Instance'!$G:$G,'By Instance'!$E:$E,A303,'By Instance'!$C:$C,C303)=0,"",SUMIFS('By Instance'!$G:$G,'By Instance'!$E:$E,A303,'By Instance'!$C:$C,C303))</f>
        <v/>
      </c>
      <c r="F303" s="6">
        <f>IF(OR(E303="",E303=0,G303=""),"",G303/E303)</f>
        <v/>
      </c>
      <c r="G303" s="6">
        <f>IF(SUMIFS('By Instance'!$I:$I,'By Instance'!$E:$E,A303,'By Instance'!$C:$C,C303)=0,"",SUMIFS('By Instance'!$I:$I,'By Instance'!$E:$E,A303,'By Instance'!$C:$C,C303))</f>
        <v/>
      </c>
    </row>
    <row r="304">
      <c r="A304" s="2" t="inlineStr">
        <is>
          <t>VETI0044</t>
        </is>
      </c>
      <c r="B304" s="3" t="inlineStr">
        <is>
          <t>CELOSIA BEAGLE 35 X 13CM BLANCO</t>
        </is>
      </c>
      <c r="C304" s="3" t="inlineStr">
        <is>
          <t>General</t>
        </is>
      </c>
      <c r="D304" s="3" t="inlineStr">
        <is>
          <t>UN</t>
        </is>
      </c>
      <c r="E304" s="4">
        <f>IF(SUMIFS('By Instance'!$G:$G,'By Instance'!$E:$E,A304,'By Instance'!$C:$C,C304)=0,"",SUMIFS('By Instance'!$G:$G,'By Instance'!$E:$E,A304,'By Instance'!$C:$C,C304))</f>
        <v/>
      </c>
      <c r="F304" s="6">
        <f>IF(OR(E304="",E304=0,G304=""),"",G304/E304)</f>
        <v/>
      </c>
      <c r="G304" s="6">
        <f>IF(SUMIFS('By Instance'!$I:$I,'By Instance'!$E:$E,A304,'By Instance'!$C:$C,C304)=0,"",SUMIFS('By Instance'!$I:$I,'By Instance'!$E:$E,A304,'By Instance'!$C:$C,C304))</f>
        <v/>
      </c>
    </row>
    <row r="305">
      <c r="A305" s="2" t="inlineStr">
        <is>
          <t>VETI0050</t>
        </is>
      </c>
      <c r="B305" s="3" t="inlineStr">
        <is>
          <t>CELOSIA PROYECTANTE #150 BLANCA CON SELLO HERMÉTICO 801702</t>
        </is>
      </c>
      <c r="C305" s="3" t="inlineStr">
        <is>
          <t>General</t>
        </is>
      </c>
      <c r="D305" s="3" t="inlineStr">
        <is>
          <t>UN</t>
        </is>
      </c>
      <c r="E305" s="4">
        <f>IF(SUMIFS('By Instance'!$G:$G,'By Instance'!$E:$E,A305,'By Instance'!$C:$C,C305)=0,"",SUMIFS('By Instance'!$G:$G,'By Instance'!$E:$E,A305,'By Instance'!$C:$C,C305))</f>
        <v/>
      </c>
      <c r="F305" s="6">
        <f>IF(OR(E305="",E305=0,G305=""),"",G305/E305)</f>
        <v/>
      </c>
      <c r="G305" s="6">
        <f>IF(SUMIFS('By Instance'!$I:$I,'By Instance'!$E:$E,A305,'By Instance'!$C:$C,C305)=0,"",SUMIFS('By Instance'!$I:$I,'By Instance'!$E:$E,A305,'By Instance'!$C:$C,C305))</f>
        <v/>
      </c>
    </row>
    <row r="306">
      <c r="A306" t="inlineStr"/>
      <c r="B306" t="inlineStr"/>
      <c r="C306" s="7" t="inlineStr">
        <is>
          <t>Subtotal Espejada</t>
        </is>
      </c>
      <c r="D306" t="inlineStr"/>
      <c r="E306" t="inlineStr"/>
      <c r="F306" t="inlineStr"/>
      <c r="G306" s="8">
        <f>SUMIFS(G2:G305,C2:C305,"Espejada")+SUMIFS(G2:G305,C2:C305,"General")</f>
        <v/>
      </c>
    </row>
    <row r="307">
      <c r="A307" t="inlineStr"/>
      <c r="B307" t="inlineStr"/>
      <c r="C307" s="7" t="inlineStr">
        <is>
          <t>Subtotal Espejada Ampliada</t>
        </is>
      </c>
      <c r="D307" t="inlineStr"/>
      <c r="E307" t="inlineStr"/>
      <c r="F307" t="inlineStr"/>
      <c r="G307" s="8">
        <f>SUMIFS(G2:G305,C2:C305,"Espejada Ampliada")+SUMIFS(G2:G305,C2:C305,"General")</f>
        <v/>
      </c>
    </row>
    <row r="308">
      <c r="A308" t="inlineStr"/>
      <c r="B308" t="inlineStr"/>
      <c r="C308" s="7" t="inlineStr">
        <is>
          <t>Subtotal Normal</t>
        </is>
      </c>
      <c r="D308" t="inlineStr"/>
      <c r="E308" t="inlineStr"/>
      <c r="F308" t="inlineStr"/>
      <c r="G308" s="8">
        <f>SUMIFS(G2:G305,C2:C305,"Normal")+SUMIFS(G2:G305,C2:C305,"General")</f>
        <v/>
      </c>
    </row>
    <row r="309">
      <c r="A309" t="inlineStr"/>
      <c r="B309" t="inlineStr"/>
      <c r="C309" s="7" t="inlineStr">
        <is>
          <t>Subtotal Normal Ampliada</t>
        </is>
      </c>
      <c r="D309" t="inlineStr"/>
      <c r="E309" t="inlineStr"/>
      <c r="F309" t="inlineStr"/>
      <c r="G309" s="8">
        <f>SUMIFS(G2:G305,C2:C305,"Normal Ampliada")+SUMIFS(G2:G305,C2:C305,"General")</f>
        <v/>
      </c>
    </row>
    <row r="310">
      <c r="A310" t="inlineStr"/>
      <c r="B310" t="inlineStr"/>
      <c r="C310" s="7" t="inlineStr">
        <is>
          <t>Total General</t>
        </is>
      </c>
      <c r="D310" t="inlineStr"/>
      <c r="E310" t="inlineStr"/>
      <c r="F310" t="inlineStr"/>
      <c r="G310" s="8">
        <f>SUM(G2:G305)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Nuevo Sol de Quillón - Cost Model Workbook</dc:title>
  <dcterms:created xsi:type="dcterms:W3CDTF">2026-04-22T14:20:20Z</dcterms:created>
  <dcterms:modified xsi:type="dcterms:W3CDTF">2026-04-22T14:20:21Z</dcterms:modified>
</cp:coreProperties>
</file>